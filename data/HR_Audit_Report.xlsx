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ney\Documents\GitHub\hris-audit-dashboard\data\"/>
    </mc:Choice>
  </mc:AlternateContent>
  <xr:revisionPtr revIDLastSave="0" documentId="13_ncr:1_{A853EC6F-7E4B-4D2C-A33F-B14F29642C1B}" xr6:coauthVersionLast="47" xr6:coauthVersionMax="47" xr10:uidLastSave="{00000000-0000-0000-0000-000000000000}"/>
  <bookViews>
    <workbookView xWindow="0" yWindow="0" windowWidth="19200" windowHeight="21000" tabRatio="659" xr2:uid="{00000000-000D-0000-FFFF-FFFF00000000}"/>
  </bookViews>
  <sheets>
    <sheet name="Dashboard" sheetId="6" r:id="rId1"/>
    <sheet name="Overtime" sheetId="3" r:id="rId2"/>
    <sheet name="Late Arrivals" sheetId="1" r:id="rId3"/>
    <sheet name="Absenteeism" sheetId="2" r:id="rId4"/>
    <sheet name="Punch Integrity" sheetId="4" r:id="rId5"/>
    <sheet name="HR Action Required" sheetId="5" r:id="rId6"/>
    <sheet name="Pivot_Data" sheetId="7" state="hidden" r:id="rId7"/>
  </sheets>
  <calcPr calcId="191029"/>
  <pivotCaches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V5" i="6"/>
  <c r="C15" i="6"/>
  <c r="C14" i="6"/>
  <c r="C13" i="6"/>
  <c r="C12" i="6"/>
  <c r="R5" i="6"/>
  <c r="N5" i="6"/>
  <c r="J5" i="6"/>
  <c r="F5" i="6"/>
  <c r="B5" i="6"/>
</calcChain>
</file>

<file path=xl/sharedStrings.xml><?xml version="1.0" encoding="utf-8"?>
<sst xmlns="http://schemas.openxmlformats.org/spreadsheetml/2006/main" count="258" uniqueCount="90">
  <si>
    <t>Late Arrival Summary — March 2025</t>
  </si>
  <si>
    <t>Days late, average lateness, and severity breakdown per employee</t>
  </si>
  <si>
    <t>emp_name</t>
  </si>
  <si>
    <t>late_days</t>
  </si>
  <si>
    <t>avg_late_mins</t>
  </si>
  <si>
    <t>worst_late_mins</t>
  </si>
  <si>
    <t>severe_count</t>
  </si>
  <si>
    <t>moderate_count</t>
  </si>
  <si>
    <t>minor_count</t>
  </si>
  <si>
    <t>Meera</t>
  </si>
  <si>
    <t>Anaya</t>
  </si>
  <si>
    <t>Dev</t>
  </si>
  <si>
    <t>Dhruv</t>
  </si>
  <si>
    <t>Navya</t>
  </si>
  <si>
    <t>Advait</t>
  </si>
  <si>
    <t>Shaurya</t>
  </si>
  <si>
    <t>Saanvi</t>
  </si>
  <si>
    <t>Pari</t>
  </si>
  <si>
    <t>Reyansh</t>
  </si>
  <si>
    <t>Kabir</t>
  </si>
  <si>
    <t>Ira</t>
  </si>
  <si>
    <t>Anika</t>
  </si>
  <si>
    <t>Arjun</t>
  </si>
  <si>
    <t>Aadhya</t>
  </si>
  <si>
    <t>Rudra</t>
  </si>
  <si>
    <t>Kiara</t>
  </si>
  <si>
    <t>Samar</t>
  </si>
  <si>
    <t>Tanish</t>
  </si>
  <si>
    <t>Vivaan</t>
  </si>
  <si>
    <t>Vihaan</t>
  </si>
  <si>
    <t>Riya</t>
  </si>
  <si>
    <t>Ishaan</t>
  </si>
  <si>
    <t>Aryan</t>
  </si>
  <si>
    <t>Aarav</t>
  </si>
  <si>
    <t>Absenteeism Report — March 2025</t>
  </si>
  <si>
    <t>Attendance rate and absent day count per employee</t>
  </si>
  <si>
    <t>total_days</t>
  </si>
  <si>
    <t>present_days</t>
  </si>
  <si>
    <t>absent_days</t>
  </si>
  <si>
    <t>weekend_present</t>
  </si>
  <si>
    <t>attendance_rate_pct</t>
  </si>
  <si>
    <t>Jiya</t>
  </si>
  <si>
    <t>Krishna</t>
  </si>
  <si>
    <t>Myra</t>
  </si>
  <si>
    <t>Kian</t>
  </si>
  <si>
    <t>Overtime Summary — March 2025</t>
  </si>
  <si>
    <t>Total, average, and peak overtime hours per employee</t>
  </si>
  <si>
    <t>ot_days</t>
  </si>
  <si>
    <t>total_ot_hours</t>
  </si>
  <si>
    <t>avg_ot_per_day_hrs</t>
  </si>
  <si>
    <t>max_ot_day_hrs</t>
  </si>
  <si>
    <t>Punch Record Integrity Audit — March 2025</t>
  </si>
  <si>
    <t>Breakdown of biometric punch record quality across all records</t>
  </si>
  <si>
    <t>flag_type</t>
  </si>
  <si>
    <t>record_count</t>
  </si>
  <si>
    <t>pct_of_total</t>
  </si>
  <si>
    <t>No data</t>
  </si>
  <si>
    <t>Clean</t>
  </si>
  <si>
    <t>Door malfunction</t>
  </si>
  <si>
    <t>Multiple issues</t>
  </si>
  <si>
    <t>Missing exit punch</t>
  </si>
  <si>
    <t>Missing entry punch</t>
  </si>
  <si>
    <t>Chronic Attendance Issues — March 2025</t>
  </si>
  <si>
    <t>Employees flagged for HR review based on absence and lateness patterns</t>
  </si>
  <si>
    <t>severe_late_days</t>
  </si>
  <si>
    <t>total_late_days</t>
  </si>
  <si>
    <t>hr_action</t>
  </si>
  <si>
    <t>Critical - immediate review</t>
  </si>
  <si>
    <t>High - manager follow-up</t>
  </si>
  <si>
    <t>Moderate - coaching needed</t>
  </si>
  <si>
    <t>Monitor</t>
  </si>
  <si>
    <r>
      <rPr>
        <b/>
        <sz val="20"/>
        <color theme="3" tint="-0.249977111117893"/>
        <rFont val="Calibri"/>
        <family val="2"/>
        <scheme val="minor"/>
      </rPr>
      <t xml:space="preserve">HR Attendance Audit </t>
    </r>
    <r>
      <rPr>
        <b/>
        <sz val="20"/>
        <color theme="3" tint="-0.249977111117893"/>
        <rFont val="Aptos Narrow"/>
        <family val="2"/>
      </rPr>
      <t>—</t>
    </r>
    <r>
      <rPr>
        <b/>
        <sz val="20"/>
        <color theme="3" tint="-0.249977111117893"/>
        <rFont val="Calibri"/>
        <family val="2"/>
      </rPr>
      <t xml:space="preserve"> March 2025</t>
    </r>
  </si>
  <si>
    <t>Biometric punch data analysis | 29 employees | March 2025</t>
  </si>
  <si>
    <t>Row Labels</t>
  </si>
  <si>
    <t>Grand Total</t>
  </si>
  <si>
    <t>Sum of attendance_rate_pct</t>
  </si>
  <si>
    <t>Average of attendance_rate_pct</t>
  </si>
  <si>
    <t>Total Employees</t>
  </si>
  <si>
    <t>Attendance Rate</t>
  </si>
  <si>
    <t>Total Absent Days</t>
  </si>
  <si>
    <t>Punch Anomalies</t>
  </si>
  <si>
    <t>Critical Cases</t>
  </si>
  <si>
    <t>Avg Lateness</t>
  </si>
  <si>
    <t>Employee Lookup</t>
  </si>
  <si>
    <t>Enter Name:</t>
  </si>
  <si>
    <t>Attendance Rate:</t>
  </si>
  <si>
    <t>Absent Days:</t>
  </si>
  <si>
    <t>Late Days:</t>
  </si>
  <si>
    <t>HR Action:</t>
  </si>
  <si>
    <t>Avg Lateness: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</si>
</sst>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rgb="FF1A3C5E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10"/>
      <name val="Calibri"/>
    </font>
    <font>
      <b/>
      <sz val="20"/>
      <color theme="3" tint="-0.249977111117893"/>
      <name val="Calibri"/>
      <family val="2"/>
      <scheme val="minor"/>
    </font>
    <font>
      <b/>
      <sz val="20"/>
      <color theme="3" tint="-0.249977111117893"/>
      <name val="Aptos Narrow"/>
      <family val="2"/>
    </font>
    <font>
      <b/>
      <sz val="20"/>
      <color theme="3" tint="-0.249977111117893"/>
      <name val="Calibri"/>
      <family val="2"/>
    </font>
    <font>
      <sz val="11"/>
      <color rgb="FF666666"/>
      <name val="Calibri"/>
      <family val="2"/>
      <scheme val="minor"/>
    </font>
    <font>
      <sz val="28"/>
      <color theme="3" tint="-0.249977111117893"/>
      <name val="Calibri"/>
      <family val="2"/>
      <scheme val="minor"/>
    </font>
    <font>
      <sz val="10"/>
      <color rgb="FF666666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2FA"/>
      </patternFill>
    </fill>
    <fill>
      <patternFill patternType="solid">
        <fgColor rgb="FFFFDDDD"/>
      </patternFill>
    </fill>
    <fill>
      <patternFill patternType="solid">
        <fgColor rgb="FFFFE8CC"/>
      </patternFill>
    </fill>
    <fill>
      <patternFill patternType="solid">
        <fgColor rgb="FFFFF9CC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F9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0" xfId="0" applyFill="1"/>
    <xf numFmtId="0" fontId="5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0" fillId="8" borderId="0" xfId="0" applyFill="1" applyAlignment="1"/>
    <xf numFmtId="0" fontId="0" fillId="8" borderId="0" xfId="0" applyFill="1" applyAlignment="1">
      <alignment horizontal="center" vertical="center"/>
    </xf>
    <xf numFmtId="0" fontId="10" fillId="9" borderId="8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1" fillId="8" borderId="0" xfId="0" applyFont="1" applyFill="1"/>
    <xf numFmtId="0" fontId="0" fillId="11" borderId="0" xfId="0" applyFill="1"/>
  </cellXfs>
  <cellStyles count="1">
    <cellStyle name="Normal" xfId="0" builtinId="0"/>
  </cellStyles>
  <dxfs count="2">
    <dxf>
      <fill>
        <patternFill>
          <bgColor rgb="FFFFDDDD"/>
        </patternFill>
      </fill>
    </dxf>
    <dxf>
      <numFmt numFmtId="164" formatCode="0.0"/>
    </dxf>
  </dxfs>
  <tableStyles count="0" defaultTableStyle="TableStyleMedium9" defaultPivotStyle="PivotStyleLight16"/>
  <colors>
    <mruColors>
      <color rgb="FFFFA500"/>
      <color rgb="FFFFF9CC"/>
      <color rgb="FFFFDDDD"/>
      <color rgb="FF666666"/>
      <color rgb="FFEB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Days</a:t>
            </a:r>
            <a:r>
              <a:rPr lang="en-US" baseline="0"/>
              <a:t>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5"/>
              <c:pt idx="0">
                <c:v>Meera</c:v>
              </c:pt>
              <c:pt idx="1">
                <c:v>Dev</c:v>
              </c:pt>
              <c:pt idx="2">
                <c:v>Anaya</c:v>
              </c:pt>
              <c:pt idx="3">
                <c:v>Advait</c:v>
              </c:pt>
              <c:pt idx="4">
                <c:v>Navya</c:v>
              </c:pt>
              <c:pt idx="5">
                <c:v>Dhruv</c:v>
              </c:pt>
              <c:pt idx="6">
                <c:v>Shaurya</c:v>
              </c:pt>
              <c:pt idx="7">
                <c:v>Reyansh</c:v>
              </c:pt>
              <c:pt idx="8">
                <c:v>Pari</c:v>
              </c:pt>
              <c:pt idx="9">
                <c:v>Saanvi</c:v>
              </c:pt>
              <c:pt idx="10">
                <c:v>Kabir</c:v>
              </c:pt>
              <c:pt idx="11">
                <c:v>Ira</c:v>
              </c:pt>
              <c:pt idx="12">
                <c:v>Anika</c:v>
              </c:pt>
              <c:pt idx="13">
                <c:v>Aadhya</c:v>
              </c:pt>
              <c:pt idx="14">
                <c:v>Arjun</c:v>
              </c:pt>
              <c:pt idx="15">
                <c:v>Rudra</c:v>
              </c:pt>
              <c:pt idx="16">
                <c:v>Kiara</c:v>
              </c:pt>
              <c:pt idx="17">
                <c:v>Samar</c:v>
              </c:pt>
              <c:pt idx="18">
                <c:v>Tanish</c:v>
              </c:pt>
              <c:pt idx="19">
                <c:v>Vivaan</c:v>
              </c:pt>
              <c:pt idx="20">
                <c:v>Vihaan</c:v>
              </c:pt>
              <c:pt idx="21">
                <c:v>Riya</c:v>
              </c:pt>
              <c:pt idx="22">
                <c:v>Ishaan</c:v>
              </c:pt>
              <c:pt idx="23">
                <c:v>Aarav</c:v>
              </c:pt>
              <c:pt idx="24">
                <c:v>Aryan</c:v>
              </c:pt>
            </c:strLit>
          </c:cat>
          <c:val>
            <c:numLit>
              <c:formatCode>General</c:formatCode>
              <c:ptCount val="25"/>
              <c:pt idx="0">
                <c:v>21</c:v>
              </c:pt>
              <c:pt idx="1">
                <c:v>20</c:v>
              </c:pt>
              <c:pt idx="2">
                <c:v>20</c:v>
              </c:pt>
              <c:pt idx="3">
                <c:v>19</c:v>
              </c:pt>
              <c:pt idx="4">
                <c:v>19</c:v>
              </c:pt>
              <c:pt idx="5">
                <c:v>19</c:v>
              </c:pt>
              <c:pt idx="6">
                <c:v>18</c:v>
              </c:pt>
              <c:pt idx="7">
                <c:v>17</c:v>
              </c:pt>
              <c:pt idx="8">
                <c:v>17</c:v>
              </c:pt>
              <c:pt idx="9">
                <c:v>17</c:v>
              </c:pt>
              <c:pt idx="10">
                <c:v>17</c:v>
              </c:pt>
              <c:pt idx="11">
                <c:v>17</c:v>
              </c:pt>
              <c:pt idx="12">
                <c:v>15</c:v>
              </c:pt>
              <c:pt idx="13">
                <c:v>14</c:v>
              </c:pt>
              <c:pt idx="14">
                <c:v>14</c:v>
              </c:pt>
              <c:pt idx="15">
                <c:v>14</c:v>
              </c:pt>
              <c:pt idx="16">
                <c:v>13</c:v>
              </c:pt>
              <c:pt idx="17">
                <c:v>12</c:v>
              </c:pt>
              <c:pt idx="18">
                <c:v>8</c:v>
              </c:pt>
              <c:pt idx="19">
                <c:v>7</c:v>
              </c:pt>
              <c:pt idx="20">
                <c:v>4</c:v>
              </c:pt>
              <c:pt idx="21">
                <c:v>3</c:v>
              </c:pt>
              <c:pt idx="22">
                <c:v>2</c:v>
              </c:pt>
              <c:pt idx="23">
                <c:v>1</c:v>
              </c:pt>
              <c:pt idx="2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1E2-4E6A-A5EA-80FDEC0E0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4662767"/>
        <c:axId val="1664652207"/>
      </c:barChart>
      <c:catAx>
        <c:axId val="166466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52207"/>
        <c:crosses val="autoZero"/>
        <c:auto val="1"/>
        <c:lblAlgn val="ctr"/>
        <c:lblOffset val="100"/>
        <c:noMultiLvlLbl val="0"/>
      </c:catAx>
      <c:valAx>
        <c:axId val="16646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6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[HR_Audit_Report.xlsx]Pivot_Data!PivotTable4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Rate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5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Pivot_Data!$B$35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A5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Pivot_Data!$A$36:$A$65</c:f>
              <c:strCache>
                <c:ptCount val="29"/>
                <c:pt idx="0">
                  <c:v>Krishna</c:v>
                </c:pt>
                <c:pt idx="1">
                  <c:v>Jiya</c:v>
                </c:pt>
                <c:pt idx="2">
                  <c:v>Myra</c:v>
                </c:pt>
                <c:pt idx="3">
                  <c:v>Aarav</c:v>
                </c:pt>
                <c:pt idx="4">
                  <c:v>Ishaan</c:v>
                </c:pt>
                <c:pt idx="5">
                  <c:v>Vivaan</c:v>
                </c:pt>
                <c:pt idx="6">
                  <c:v>Tanish</c:v>
                </c:pt>
                <c:pt idx="7">
                  <c:v>Riya</c:v>
                </c:pt>
                <c:pt idx="8">
                  <c:v>Aryan</c:v>
                </c:pt>
                <c:pt idx="9">
                  <c:v>Pari</c:v>
                </c:pt>
                <c:pt idx="10">
                  <c:v>Saanvi</c:v>
                </c:pt>
                <c:pt idx="11">
                  <c:v>Rudra</c:v>
                </c:pt>
                <c:pt idx="12">
                  <c:v>Ira</c:v>
                </c:pt>
                <c:pt idx="13">
                  <c:v>Reyansh</c:v>
                </c:pt>
                <c:pt idx="14">
                  <c:v>Kabir</c:v>
                </c:pt>
                <c:pt idx="15">
                  <c:v>Dhruv</c:v>
                </c:pt>
                <c:pt idx="16">
                  <c:v>Aadhya</c:v>
                </c:pt>
                <c:pt idx="17">
                  <c:v>Navya</c:v>
                </c:pt>
                <c:pt idx="18">
                  <c:v>Advait</c:v>
                </c:pt>
                <c:pt idx="19">
                  <c:v>Anika</c:v>
                </c:pt>
                <c:pt idx="20">
                  <c:v>Kiara</c:v>
                </c:pt>
                <c:pt idx="21">
                  <c:v>Kian</c:v>
                </c:pt>
                <c:pt idx="22">
                  <c:v>Dev</c:v>
                </c:pt>
                <c:pt idx="23">
                  <c:v>Shaurya</c:v>
                </c:pt>
                <c:pt idx="24">
                  <c:v>Samar</c:v>
                </c:pt>
                <c:pt idx="25">
                  <c:v>Meera</c:v>
                </c:pt>
                <c:pt idx="26">
                  <c:v>Vihaan</c:v>
                </c:pt>
                <c:pt idx="27">
                  <c:v>Anaya</c:v>
                </c:pt>
                <c:pt idx="28">
                  <c:v>Arjun</c:v>
                </c:pt>
              </c:strCache>
            </c:strRef>
          </c:cat>
          <c:val>
            <c:numRef>
              <c:f>Pivot_Data!$B$36:$B$65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3.8</c:v>
                </c:pt>
                <c:pt idx="4">
                  <c:v>15.4</c:v>
                </c:pt>
                <c:pt idx="5">
                  <c:v>30.8</c:v>
                </c:pt>
                <c:pt idx="6">
                  <c:v>30.8</c:v>
                </c:pt>
                <c:pt idx="7">
                  <c:v>46.2</c:v>
                </c:pt>
                <c:pt idx="8">
                  <c:v>50</c:v>
                </c:pt>
                <c:pt idx="9">
                  <c:v>65.400000000000006</c:v>
                </c:pt>
                <c:pt idx="10">
                  <c:v>65.400000000000006</c:v>
                </c:pt>
                <c:pt idx="11">
                  <c:v>65.400000000000006</c:v>
                </c:pt>
                <c:pt idx="12">
                  <c:v>69.2</c:v>
                </c:pt>
                <c:pt idx="13">
                  <c:v>69.2</c:v>
                </c:pt>
                <c:pt idx="14">
                  <c:v>73.099999999999994</c:v>
                </c:pt>
                <c:pt idx="15">
                  <c:v>73.099999999999994</c:v>
                </c:pt>
                <c:pt idx="16">
                  <c:v>73.099999999999994</c:v>
                </c:pt>
                <c:pt idx="17">
                  <c:v>73.099999999999994</c:v>
                </c:pt>
                <c:pt idx="18">
                  <c:v>73.099999999999994</c:v>
                </c:pt>
                <c:pt idx="19">
                  <c:v>73.099999999999994</c:v>
                </c:pt>
                <c:pt idx="20">
                  <c:v>76.900000000000006</c:v>
                </c:pt>
                <c:pt idx="21">
                  <c:v>76.900000000000006</c:v>
                </c:pt>
                <c:pt idx="22">
                  <c:v>76.900000000000006</c:v>
                </c:pt>
                <c:pt idx="23">
                  <c:v>76.900000000000006</c:v>
                </c:pt>
                <c:pt idx="24">
                  <c:v>80.8</c:v>
                </c:pt>
                <c:pt idx="25">
                  <c:v>80.8</c:v>
                </c:pt>
                <c:pt idx="26">
                  <c:v>80.8</c:v>
                </c:pt>
                <c:pt idx="27">
                  <c:v>80.8</c:v>
                </c:pt>
                <c:pt idx="28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1-4178-B1D5-304FE63057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6064015"/>
        <c:axId val="1856054415"/>
      </c:barChart>
      <c:catAx>
        <c:axId val="185606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054415"/>
        <c:crosses val="autoZero"/>
        <c:auto val="1"/>
        <c:lblAlgn val="ctr"/>
        <c:lblOffset val="100"/>
        <c:noMultiLvlLbl val="0"/>
      </c:catAx>
      <c:valAx>
        <c:axId val="185605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0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297258</xdr:colOff>
      <xdr:row>17</xdr:row>
      <xdr:rowOff>42464</xdr:rowOff>
    </xdr:from>
    <xdr:to>
      <xdr:col>23</xdr:col>
      <xdr:colOff>314324</xdr:colOff>
      <xdr:row>35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53D34D-A36C-86BF-55EC-629E61766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569515</xdr:colOff>
      <xdr:row>17</xdr:row>
      <xdr:rowOff>39686</xdr:rowOff>
    </xdr:from>
    <xdr:to>
      <xdr:col>11</xdr:col>
      <xdr:colOff>547688</xdr:colOff>
      <xdr:row>44</xdr:row>
      <xdr:rowOff>31750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DBC2A77-9C65-5E80-497A-9E7242718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 Doo" refreshedDate="46132.605456944446" missingItemsLimit="1048576" createdVersion="8" refreshedVersion="8" minRefreshableVersion="3" recordCount="29" xr:uid="{41088553-C688-4106-A1D3-A06176C204D0}">
  <cacheSource type="worksheet">
    <worksheetSource ref="A3:F32" sheet="Absenteeism"/>
  </cacheSource>
  <cacheFields count="6">
    <cacheField name="emp_name" numFmtId="0">
      <sharedItems count="29">
        <s v="Jiya"/>
        <s v="Krishna"/>
        <s v="Myra"/>
        <s v="Aarav"/>
        <s v="Ishaan"/>
        <s v="Tanish"/>
        <s v="Vivaan"/>
        <s v="Riya"/>
        <s v="Aryan"/>
        <s v="Rudra"/>
        <s v="Saanvi"/>
        <s v="Pari"/>
        <s v="Reyansh"/>
        <s v="Ira"/>
        <s v="Kabir"/>
        <s v="Aadhya"/>
        <s v="Dhruv"/>
        <s v="Advait"/>
        <s v="Anika"/>
        <s v="Navya"/>
        <s v="Shaurya"/>
        <s v="Dev"/>
        <s v="Kian"/>
        <s v="Kiara"/>
        <s v="Meera"/>
        <s v="Arjun"/>
        <s v="Anaya"/>
        <s v="Vihaan"/>
        <s v="Samar"/>
      </sharedItems>
    </cacheField>
    <cacheField name="total_days" numFmtId="0">
      <sharedItems containsSemiMixedTypes="0" containsString="0" containsNumber="1" containsInteger="1" minValue="31" maxValue="31"/>
    </cacheField>
    <cacheField name="present_days" numFmtId="0">
      <sharedItems containsSemiMixedTypes="0" containsString="0" containsNumber="1" containsInteger="1" minValue="0" maxValue="21"/>
    </cacheField>
    <cacheField name="absent_days" numFmtId="0">
      <sharedItems containsSemiMixedTypes="0" containsString="0" containsNumber="1" containsInteger="1" minValue="5" maxValue="26"/>
    </cacheField>
    <cacheField name="weekend_present" numFmtId="0">
      <sharedItems containsSemiMixedTypes="0" containsString="0" containsNumber="1" containsInteger="1" minValue="0" maxValue="4"/>
    </cacheField>
    <cacheField name="attendance_rate_pct" numFmtId="0">
      <sharedItems containsSemiMixedTypes="0" containsString="0" containsNumber="1" minValue="0" maxValue="80.8" count="11">
        <n v="0"/>
        <n v="3.8"/>
        <n v="15.4"/>
        <n v="30.8"/>
        <n v="46.2"/>
        <n v="50"/>
        <n v="65.400000000000006"/>
        <n v="69.2"/>
        <n v="73.099999999999994"/>
        <n v="76.900000000000006"/>
        <n v="80.8"/>
      </sharedItems>
    </cacheField>
  </cacheFields>
  <extLst>
    <ext xmlns:x14="http://schemas.microsoft.com/office/spreadsheetml/2009/9/main" uri="{725AE2AE-9491-48be-B2B4-4EB974FC3084}">
      <x14:pivotCacheDefinition pivotCacheId="8316306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31"/>
    <n v="0"/>
    <n v="26"/>
    <n v="0"/>
    <x v="0"/>
  </r>
  <r>
    <x v="1"/>
    <n v="31"/>
    <n v="0"/>
    <n v="26"/>
    <n v="0"/>
    <x v="0"/>
  </r>
  <r>
    <x v="2"/>
    <n v="31"/>
    <n v="0"/>
    <n v="26"/>
    <n v="0"/>
    <x v="0"/>
  </r>
  <r>
    <x v="3"/>
    <n v="31"/>
    <n v="1"/>
    <n v="25"/>
    <n v="0"/>
    <x v="1"/>
  </r>
  <r>
    <x v="4"/>
    <n v="31"/>
    <n v="4"/>
    <n v="22"/>
    <n v="0"/>
    <x v="2"/>
  </r>
  <r>
    <x v="5"/>
    <n v="31"/>
    <n v="8"/>
    <n v="18"/>
    <n v="1"/>
    <x v="3"/>
  </r>
  <r>
    <x v="6"/>
    <n v="31"/>
    <n v="8"/>
    <n v="18"/>
    <n v="0"/>
    <x v="3"/>
  </r>
  <r>
    <x v="7"/>
    <n v="31"/>
    <n v="12"/>
    <n v="14"/>
    <n v="3"/>
    <x v="4"/>
  </r>
  <r>
    <x v="8"/>
    <n v="31"/>
    <n v="13"/>
    <n v="13"/>
    <n v="2"/>
    <x v="5"/>
  </r>
  <r>
    <x v="9"/>
    <n v="31"/>
    <n v="17"/>
    <n v="9"/>
    <n v="3"/>
    <x v="6"/>
  </r>
  <r>
    <x v="10"/>
    <n v="31"/>
    <n v="17"/>
    <n v="9"/>
    <n v="4"/>
    <x v="6"/>
  </r>
  <r>
    <x v="11"/>
    <n v="31"/>
    <n v="17"/>
    <n v="9"/>
    <n v="2"/>
    <x v="6"/>
  </r>
  <r>
    <x v="12"/>
    <n v="31"/>
    <n v="18"/>
    <n v="8"/>
    <n v="3"/>
    <x v="7"/>
  </r>
  <r>
    <x v="13"/>
    <n v="31"/>
    <n v="18"/>
    <n v="8"/>
    <n v="4"/>
    <x v="7"/>
  </r>
  <r>
    <x v="14"/>
    <n v="31"/>
    <n v="19"/>
    <n v="7"/>
    <n v="3"/>
    <x v="8"/>
  </r>
  <r>
    <x v="15"/>
    <n v="31"/>
    <n v="19"/>
    <n v="7"/>
    <n v="3"/>
    <x v="8"/>
  </r>
  <r>
    <x v="16"/>
    <n v="31"/>
    <n v="19"/>
    <n v="7"/>
    <n v="3"/>
    <x v="8"/>
  </r>
  <r>
    <x v="17"/>
    <n v="31"/>
    <n v="19"/>
    <n v="7"/>
    <n v="3"/>
    <x v="8"/>
  </r>
  <r>
    <x v="18"/>
    <n v="31"/>
    <n v="19"/>
    <n v="7"/>
    <n v="4"/>
    <x v="8"/>
  </r>
  <r>
    <x v="19"/>
    <n v="31"/>
    <n v="19"/>
    <n v="7"/>
    <n v="4"/>
    <x v="8"/>
  </r>
  <r>
    <x v="20"/>
    <n v="31"/>
    <n v="20"/>
    <n v="6"/>
    <n v="4"/>
    <x v="9"/>
  </r>
  <r>
    <x v="21"/>
    <n v="31"/>
    <n v="20"/>
    <n v="6"/>
    <n v="4"/>
    <x v="9"/>
  </r>
  <r>
    <x v="22"/>
    <n v="31"/>
    <n v="20"/>
    <n v="6"/>
    <n v="0"/>
    <x v="9"/>
  </r>
  <r>
    <x v="23"/>
    <n v="31"/>
    <n v="20"/>
    <n v="6"/>
    <n v="3"/>
    <x v="9"/>
  </r>
  <r>
    <x v="24"/>
    <n v="31"/>
    <n v="21"/>
    <n v="5"/>
    <n v="2"/>
    <x v="10"/>
  </r>
  <r>
    <x v="25"/>
    <n v="31"/>
    <n v="21"/>
    <n v="5"/>
    <n v="4"/>
    <x v="10"/>
  </r>
  <r>
    <x v="26"/>
    <n v="31"/>
    <n v="21"/>
    <n v="5"/>
    <n v="3"/>
    <x v="10"/>
  </r>
  <r>
    <x v="27"/>
    <n v="31"/>
    <n v="21"/>
    <n v="5"/>
    <n v="3"/>
    <x v="10"/>
  </r>
  <r>
    <x v="28"/>
    <n v="31"/>
    <n v="21"/>
    <n v="5"/>
    <n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D9616-CFC8-48A1-9E09-D27FA24D938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5:B65" firstHeaderRow="1" firstDataRow="1" firstDataCol="1"/>
  <pivotFields count="6">
    <pivotField axis="axisRow" showAll="0" sortType="ascending">
      <items count="30">
        <item x="15"/>
        <item x="3"/>
        <item x="17"/>
        <item x="26"/>
        <item x="18"/>
        <item x="25"/>
        <item x="8"/>
        <item x="21"/>
        <item x="16"/>
        <item x="13"/>
        <item x="4"/>
        <item x="0"/>
        <item x="14"/>
        <item x="22"/>
        <item x="23"/>
        <item x="1"/>
        <item x="24"/>
        <item x="2"/>
        <item x="19"/>
        <item x="11"/>
        <item x="12"/>
        <item x="7"/>
        <item x="9"/>
        <item x="10"/>
        <item x="28"/>
        <item x="20"/>
        <item x="5"/>
        <item x="2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30">
    <i>
      <x v="15"/>
    </i>
    <i>
      <x v="11"/>
    </i>
    <i>
      <x v="17"/>
    </i>
    <i>
      <x v="1"/>
    </i>
    <i>
      <x v="10"/>
    </i>
    <i>
      <x v="28"/>
    </i>
    <i>
      <x v="26"/>
    </i>
    <i>
      <x v="21"/>
    </i>
    <i>
      <x v="6"/>
    </i>
    <i>
      <x v="19"/>
    </i>
    <i>
      <x v="23"/>
    </i>
    <i>
      <x v="22"/>
    </i>
    <i>
      <x v="9"/>
    </i>
    <i>
      <x v="20"/>
    </i>
    <i>
      <x v="12"/>
    </i>
    <i>
      <x v="8"/>
    </i>
    <i>
      <x/>
    </i>
    <i>
      <x v="18"/>
    </i>
    <i>
      <x v="2"/>
    </i>
    <i>
      <x v="4"/>
    </i>
    <i>
      <x v="14"/>
    </i>
    <i>
      <x v="13"/>
    </i>
    <i>
      <x v="7"/>
    </i>
    <i>
      <x v="25"/>
    </i>
    <i>
      <x v="24"/>
    </i>
    <i>
      <x v="16"/>
    </i>
    <i>
      <x v="27"/>
    </i>
    <i>
      <x v="3"/>
    </i>
    <i>
      <x v="5"/>
    </i>
    <i t="grand">
      <x/>
    </i>
  </rowItems>
  <colItems count="1">
    <i/>
  </colItems>
  <dataFields count="1">
    <dataField name="Sum of attendance_rate_pct" fld="5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1D27C-4600-474B-846D-4F788ED126BB}" name="PivotTable1" cacheId="15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B31" firstHeaderRow="1" firstDataRow="1" firstDataCol="1"/>
  <pivotFields count="6">
    <pivotField axis="axisRow" showAll="0" sortType="ascending">
      <items count="30">
        <item x="15"/>
        <item x="3"/>
        <item x="17"/>
        <item x="26"/>
        <item x="18"/>
        <item x="25"/>
        <item x="8"/>
        <item x="21"/>
        <item x="16"/>
        <item x="13"/>
        <item x="4"/>
        <item x="0"/>
        <item x="14"/>
        <item x="22"/>
        <item x="23"/>
        <item x="1"/>
        <item x="24"/>
        <item x="2"/>
        <item x="19"/>
        <item x="11"/>
        <item x="12"/>
        <item x="7"/>
        <item x="9"/>
        <item x="10"/>
        <item x="28"/>
        <item x="20"/>
        <item x="5"/>
        <item x="2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30">
    <i>
      <x v="15"/>
    </i>
    <i>
      <x v="11"/>
    </i>
    <i>
      <x v="17"/>
    </i>
    <i>
      <x v="1"/>
    </i>
    <i>
      <x v="10"/>
    </i>
    <i>
      <x v="28"/>
    </i>
    <i>
      <x v="26"/>
    </i>
    <i>
      <x v="21"/>
    </i>
    <i>
      <x v="6"/>
    </i>
    <i>
      <x v="19"/>
    </i>
    <i>
      <x v="23"/>
    </i>
    <i>
      <x v="22"/>
    </i>
    <i>
      <x v="9"/>
    </i>
    <i>
      <x v="20"/>
    </i>
    <i>
      <x v="12"/>
    </i>
    <i>
      <x v="8"/>
    </i>
    <i>
      <x/>
    </i>
    <i>
      <x v="18"/>
    </i>
    <i>
      <x v="2"/>
    </i>
    <i>
      <x v="4"/>
    </i>
    <i>
      <x v="14"/>
    </i>
    <i>
      <x v="13"/>
    </i>
    <i>
      <x v="7"/>
    </i>
    <i>
      <x v="25"/>
    </i>
    <i>
      <x v="24"/>
    </i>
    <i>
      <x v="16"/>
    </i>
    <i>
      <x v="27"/>
    </i>
    <i>
      <x v="3"/>
    </i>
    <i>
      <x v="5"/>
    </i>
    <i t="grand">
      <x/>
    </i>
  </rowItems>
  <colItems count="1">
    <i/>
  </colItems>
  <dataFields count="1">
    <dataField name="Average of attendance_rate_pct" fld="5" subtotal="average" baseField="0" baseItem="0"/>
  </dataFields>
  <formats count="1">
    <format dxfId="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A3C5E"/>
      </a:dk2>
      <a:lt2>
        <a:srgbClr val="EEECE1"/>
      </a:lt2>
      <a:accent1>
        <a:srgbClr val="FFD700"/>
      </a:accent1>
      <a:accent2>
        <a:srgbClr val="FF4444"/>
      </a:accent2>
      <a:accent3>
        <a:srgbClr val="4CAF50"/>
      </a:accent3>
      <a:accent4>
        <a:srgbClr val="8B0000"/>
      </a:accent4>
      <a:accent5>
        <a:srgbClr val="4BACC6"/>
      </a:accent5>
      <a:accent6>
        <a:srgbClr val="FFA50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5C79-B6AB-465E-979D-4DFE72DADD4A}">
  <sheetPr>
    <tabColor theme="3" tint="-0.249977111117893"/>
  </sheetPr>
  <dimension ref="B2:X16"/>
  <sheetViews>
    <sheetView showGridLines="0" tabSelected="1" zoomScale="80" zoomScaleNormal="80" workbookViewId="0">
      <selection activeCell="Z51" sqref="Z51"/>
    </sheetView>
  </sheetViews>
  <sheetFormatPr defaultColWidth="8.7109375" defaultRowHeight="15" x14ac:dyDescent="0.25"/>
  <cols>
    <col min="1" max="1" width="8.7109375" style="10"/>
    <col min="2" max="2" width="16.140625" style="10" customWidth="1"/>
    <col min="3" max="3" width="10.85546875" style="10" customWidth="1"/>
    <col min="4" max="4" width="1.5703125" style="10" customWidth="1"/>
    <col min="5" max="5" width="4.7109375" style="10" customWidth="1"/>
    <col min="6" max="8" width="8.7109375" style="10"/>
    <col min="9" max="9" width="4.7109375" style="10" customWidth="1"/>
    <col min="10" max="12" width="8.7109375" style="10"/>
    <col min="13" max="13" width="4.7109375" style="10" customWidth="1"/>
    <col min="14" max="16" width="8.7109375" style="10"/>
    <col min="17" max="17" width="4.7109375" style="10" customWidth="1"/>
    <col min="18" max="20" width="8.7109375" style="10"/>
    <col min="21" max="21" width="4.7109375" style="10" customWidth="1"/>
    <col min="22" max="16384" width="8.7109375" style="10"/>
  </cols>
  <sheetData>
    <row r="2" spans="2:24" ht="26.25" x14ac:dyDescent="0.4">
      <c r="B2" s="11" t="s">
        <v>71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2:24" x14ac:dyDescent="0.25">
      <c r="B3" s="12" t="s">
        <v>72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2:24" x14ac:dyDescent="0.25">
      <c r="B5" s="17">
        <f>COUNTA(Absenteeism!A2:A30)</f>
        <v>29</v>
      </c>
      <c r="C5" s="18"/>
      <c r="D5" s="19"/>
      <c r="E5" s="23"/>
      <c r="F5" s="17" t="str">
        <f>ROUND(AVERAGE(Absenteeism!F4:F32),1)&amp;"%"</f>
        <v>57.3%</v>
      </c>
      <c r="G5" s="18"/>
      <c r="H5" s="19"/>
      <c r="I5" s="23"/>
      <c r="J5" s="17">
        <f>SUM(Absenteeism!D4:D32)</f>
        <v>322</v>
      </c>
      <c r="K5" s="18"/>
      <c r="L5" s="19"/>
      <c r="M5" s="23"/>
      <c r="N5" s="17">
        <f>SUMIF('Punch Integrity'!A4:A9,"&lt;&gt;Clean", 'Punch Integrity'!B4:B9)-SUMIF('Punch Integrity'!A4:A9,"No data",'Punch Integrity'!B4:B9)</f>
        <v>231</v>
      </c>
      <c r="O5" s="18"/>
      <c r="P5" s="19"/>
      <c r="Q5" s="23"/>
      <c r="R5" s="31">
        <f>COUNTIF('HR Action Required'!F4:F32,"Critical - immediate review")</f>
        <v>7</v>
      </c>
      <c r="S5" s="32"/>
      <c r="T5" s="33"/>
      <c r="V5" s="17" t="str">
        <f>ROUND(AVERAGE('Late Arrivals'!C4:C28),1)&amp;" mins"</f>
        <v>39.1 mins</v>
      </c>
      <c r="W5" s="18"/>
      <c r="X5" s="19"/>
    </row>
    <row r="6" spans="2:24" x14ac:dyDescent="0.25">
      <c r="B6" s="20"/>
      <c r="C6" s="21"/>
      <c r="D6" s="22"/>
      <c r="E6" s="23"/>
      <c r="F6" s="20"/>
      <c r="G6" s="21"/>
      <c r="H6" s="22"/>
      <c r="I6" s="23"/>
      <c r="J6" s="20"/>
      <c r="K6" s="21"/>
      <c r="L6" s="22"/>
      <c r="M6" s="23"/>
      <c r="N6" s="20"/>
      <c r="O6" s="21"/>
      <c r="P6" s="22"/>
      <c r="Q6" s="23"/>
      <c r="R6" s="34"/>
      <c r="S6" s="35"/>
      <c r="T6" s="36"/>
      <c r="V6" s="20"/>
      <c r="W6" s="21"/>
      <c r="X6" s="22"/>
    </row>
    <row r="7" spans="2:24" x14ac:dyDescent="0.25">
      <c r="B7" s="20"/>
      <c r="C7" s="21"/>
      <c r="D7" s="22"/>
      <c r="E7" s="23"/>
      <c r="F7" s="20"/>
      <c r="G7" s="21"/>
      <c r="H7" s="22"/>
      <c r="I7" s="23"/>
      <c r="J7" s="20"/>
      <c r="K7" s="21"/>
      <c r="L7" s="22"/>
      <c r="M7" s="23"/>
      <c r="N7" s="20"/>
      <c r="O7" s="21"/>
      <c r="P7" s="22"/>
      <c r="Q7" s="23"/>
      <c r="R7" s="34"/>
      <c r="S7" s="35"/>
      <c r="T7" s="36"/>
      <c r="V7" s="20"/>
      <c r="W7" s="21"/>
      <c r="X7" s="22"/>
    </row>
    <row r="8" spans="2:24" x14ac:dyDescent="0.25">
      <c r="B8" s="25" t="s">
        <v>77</v>
      </c>
      <c r="C8" s="26"/>
      <c r="D8" s="27"/>
      <c r="E8" s="23"/>
      <c r="F8" s="25" t="s">
        <v>78</v>
      </c>
      <c r="G8" s="26"/>
      <c r="H8" s="27"/>
      <c r="I8" s="23"/>
      <c r="J8" s="25" t="s">
        <v>79</v>
      </c>
      <c r="K8" s="26"/>
      <c r="L8" s="27"/>
      <c r="M8" s="23"/>
      <c r="N8" s="25" t="s">
        <v>80</v>
      </c>
      <c r="O8" s="26"/>
      <c r="P8" s="27"/>
      <c r="Q8" s="23"/>
      <c r="R8" s="28" t="s">
        <v>81</v>
      </c>
      <c r="S8" s="29"/>
      <c r="T8" s="30"/>
      <c r="V8" s="25" t="s">
        <v>82</v>
      </c>
      <c r="W8" s="26"/>
      <c r="X8" s="27"/>
    </row>
    <row r="10" spans="2:24" ht="15.75" x14ac:dyDescent="0.25">
      <c r="B10" s="37" t="s">
        <v>83</v>
      </c>
    </row>
    <row r="11" spans="2:24" x14ac:dyDescent="0.25">
      <c r="B11" s="10" t="s">
        <v>84</v>
      </c>
      <c r="C11" s="38" t="s">
        <v>28</v>
      </c>
      <c r="D11" s="38"/>
    </row>
    <row r="12" spans="2:24" x14ac:dyDescent="0.25">
      <c r="B12" s="10" t="s">
        <v>85</v>
      </c>
      <c r="C12" s="24" t="str">
        <f>IFERROR(_xlfn.XLOOKUP(C11,Absenteeism!A4:A32,Absenteeism!F4:F32,"Not found")&amp;"%","Enter a name")</f>
        <v>30.8%</v>
      </c>
    </row>
    <row r="13" spans="2:24" x14ac:dyDescent="0.25">
      <c r="B13" s="10" t="s">
        <v>86</v>
      </c>
      <c r="C13" s="24">
        <f>IFERROR(_xlfn.XLOOKUP(C11,Absenteeism!A4:A32,Absenteeism!D4:D32,"Not found"),"Enter a name")</f>
        <v>18</v>
      </c>
    </row>
    <row r="14" spans="2:24" x14ac:dyDescent="0.25">
      <c r="B14" s="10" t="s">
        <v>87</v>
      </c>
      <c r="C14" s="24">
        <f>IFERROR(_xlfn.XLOOKUP(C11,'Late Arrivals'!A4:A28, 'Late Arrivals'!B4:B28,0),"No late records")</f>
        <v>7</v>
      </c>
    </row>
    <row r="15" spans="2:24" x14ac:dyDescent="0.25">
      <c r="B15" s="10" t="s">
        <v>88</v>
      </c>
      <c r="C15" s="10" t="str">
        <f>IFERROR(_xlfn.XLOOKUP(C11,'HR Action Required'!A4:A32,'HR Action Required'!F4:F32,"Not in watchlist"), "Enter a name")</f>
        <v>Critical - immediate review</v>
      </c>
    </row>
    <row r="16" spans="2:24" x14ac:dyDescent="0.25">
      <c r="B16" s="10" t="s">
        <v>89</v>
      </c>
      <c r="C16" s="10" t="str">
        <f>IFERROR(_xlfn.XLOOKUP(C11,'Late Arrivals'!A4:A28,'Late Arrivals'!C4:C28,0)&amp;" mins", "No late records")</f>
        <v>30.1 mins</v>
      </c>
    </row>
  </sheetData>
  <mergeCells count="14">
    <mergeCell ref="B2:W2"/>
    <mergeCell ref="B3:W3"/>
    <mergeCell ref="N5:P7"/>
    <mergeCell ref="N8:P8"/>
    <mergeCell ref="R5:T7"/>
    <mergeCell ref="R8:T8"/>
    <mergeCell ref="V5:X7"/>
    <mergeCell ref="V8:X8"/>
    <mergeCell ref="B8:D8"/>
    <mergeCell ref="B5:D7"/>
    <mergeCell ref="F5:H7"/>
    <mergeCell ref="F8:H8"/>
    <mergeCell ref="J5:L7"/>
    <mergeCell ref="J8:L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B38" sqref="B38"/>
    </sheetView>
  </sheetViews>
  <sheetFormatPr defaultRowHeight="15" x14ac:dyDescent="0.25"/>
  <cols>
    <col min="1" max="1" width="40" customWidth="1"/>
    <col min="2" max="2" width="11" customWidth="1"/>
    <col min="3" max="3" width="18" customWidth="1"/>
    <col min="4" max="4" width="22" customWidth="1"/>
    <col min="5" max="5" width="18" customWidth="1"/>
  </cols>
  <sheetData>
    <row r="1" spans="1:5" ht="18.75" x14ac:dyDescent="0.3">
      <c r="A1" s="1" t="s">
        <v>45</v>
      </c>
    </row>
    <row r="2" spans="1:5" x14ac:dyDescent="0.25">
      <c r="A2" s="2" t="s">
        <v>46</v>
      </c>
    </row>
    <row r="3" spans="1:5" x14ac:dyDescent="0.25">
      <c r="A3" s="3" t="s">
        <v>2</v>
      </c>
      <c r="B3" s="3" t="s">
        <v>47</v>
      </c>
      <c r="C3" s="3" t="s">
        <v>48</v>
      </c>
      <c r="D3" s="3" t="s">
        <v>49</v>
      </c>
      <c r="E3" s="3" t="s">
        <v>50</v>
      </c>
    </row>
    <row r="4" spans="1:5" x14ac:dyDescent="0.25">
      <c r="A4" s="4" t="s">
        <v>11</v>
      </c>
      <c r="B4" s="4">
        <v>23</v>
      </c>
      <c r="C4" s="4">
        <v>56.38</v>
      </c>
      <c r="D4" s="4">
        <v>2.4500000000000002</v>
      </c>
      <c r="E4" s="4">
        <v>9.52</v>
      </c>
    </row>
    <row r="5" spans="1:5" x14ac:dyDescent="0.25">
      <c r="A5" s="5" t="s">
        <v>15</v>
      </c>
      <c r="B5" s="5">
        <v>20</v>
      </c>
      <c r="C5" s="5">
        <v>54.48</v>
      </c>
      <c r="D5" s="5">
        <v>2.72</v>
      </c>
      <c r="E5" s="5">
        <v>9.73</v>
      </c>
    </row>
    <row r="6" spans="1:5" x14ac:dyDescent="0.25">
      <c r="A6" s="4" t="s">
        <v>13</v>
      </c>
      <c r="B6" s="4">
        <v>21</v>
      </c>
      <c r="C6" s="4">
        <v>54.37</v>
      </c>
      <c r="D6" s="4">
        <v>2.59</v>
      </c>
      <c r="E6" s="4">
        <v>9.58</v>
      </c>
    </row>
    <row r="7" spans="1:5" x14ac:dyDescent="0.25">
      <c r="A7" s="5" t="s">
        <v>20</v>
      </c>
      <c r="B7" s="5">
        <v>21</v>
      </c>
      <c r="C7" s="5">
        <v>50.97</v>
      </c>
      <c r="D7" s="5">
        <v>2.4300000000000002</v>
      </c>
      <c r="E7" s="5">
        <v>9.02</v>
      </c>
    </row>
    <row r="8" spans="1:5" x14ac:dyDescent="0.25">
      <c r="A8" s="4" t="s">
        <v>26</v>
      </c>
      <c r="B8" s="4">
        <v>22</v>
      </c>
      <c r="C8" s="4">
        <v>50.3</v>
      </c>
      <c r="D8" s="4">
        <v>2.29</v>
      </c>
      <c r="E8" s="4">
        <v>9.85</v>
      </c>
    </row>
    <row r="9" spans="1:5" x14ac:dyDescent="0.25">
      <c r="A9" s="5" t="s">
        <v>16</v>
      </c>
      <c r="B9" s="5">
        <v>19</v>
      </c>
      <c r="C9" s="5">
        <v>48.1</v>
      </c>
      <c r="D9" s="5">
        <v>2.5299999999999998</v>
      </c>
      <c r="E9" s="5">
        <v>8.93</v>
      </c>
    </row>
    <row r="10" spans="1:5" x14ac:dyDescent="0.25">
      <c r="A10" s="4" t="s">
        <v>22</v>
      </c>
      <c r="B10" s="4">
        <v>13</v>
      </c>
      <c r="C10" s="4">
        <v>41.98</v>
      </c>
      <c r="D10" s="4">
        <v>3.23</v>
      </c>
      <c r="E10" s="4">
        <v>9.1</v>
      </c>
    </row>
    <row r="11" spans="1:5" x14ac:dyDescent="0.25">
      <c r="A11" s="5" t="s">
        <v>14</v>
      </c>
      <c r="B11" s="5">
        <v>20</v>
      </c>
      <c r="C11" s="5">
        <v>39.92</v>
      </c>
      <c r="D11" s="5">
        <v>2</v>
      </c>
      <c r="E11" s="5">
        <v>8.92</v>
      </c>
    </row>
    <row r="12" spans="1:5" x14ac:dyDescent="0.25">
      <c r="A12" s="4" t="s">
        <v>25</v>
      </c>
      <c r="B12" s="4">
        <v>18</v>
      </c>
      <c r="C12" s="4">
        <v>38.92</v>
      </c>
      <c r="D12" s="4">
        <v>2.16</v>
      </c>
      <c r="E12" s="4">
        <v>9.08</v>
      </c>
    </row>
    <row r="13" spans="1:5" x14ac:dyDescent="0.25">
      <c r="A13" s="5" t="s">
        <v>18</v>
      </c>
      <c r="B13" s="5">
        <v>18</v>
      </c>
      <c r="C13" s="5">
        <v>38.68</v>
      </c>
      <c r="D13" s="5">
        <v>2.15</v>
      </c>
      <c r="E13" s="5">
        <v>9.02</v>
      </c>
    </row>
    <row r="14" spans="1:5" x14ac:dyDescent="0.25">
      <c r="A14" s="4" t="s">
        <v>21</v>
      </c>
      <c r="B14" s="4">
        <v>10</v>
      </c>
      <c r="C14" s="4">
        <v>37.6</v>
      </c>
      <c r="D14" s="4">
        <v>3.76</v>
      </c>
      <c r="E14" s="4">
        <v>8.8800000000000008</v>
      </c>
    </row>
    <row r="15" spans="1:5" x14ac:dyDescent="0.25">
      <c r="A15" s="5" t="s">
        <v>12</v>
      </c>
      <c r="B15" s="5">
        <v>13</v>
      </c>
      <c r="C15" s="5">
        <v>36.42</v>
      </c>
      <c r="D15" s="5">
        <v>2.8</v>
      </c>
      <c r="E15" s="5">
        <v>9.3000000000000007</v>
      </c>
    </row>
    <row r="16" spans="1:5" x14ac:dyDescent="0.25">
      <c r="A16" s="4" t="s">
        <v>10</v>
      </c>
      <c r="B16" s="4">
        <v>16</v>
      </c>
      <c r="C16" s="4">
        <v>33.950000000000003</v>
      </c>
      <c r="D16" s="4">
        <v>2.12</v>
      </c>
      <c r="E16" s="4">
        <v>8.8800000000000008</v>
      </c>
    </row>
    <row r="17" spans="1:5" x14ac:dyDescent="0.25">
      <c r="A17" s="5" t="s">
        <v>24</v>
      </c>
      <c r="B17" s="5">
        <v>12</v>
      </c>
      <c r="C17" s="5">
        <v>33.479999999999997</v>
      </c>
      <c r="D17" s="5">
        <v>2.79</v>
      </c>
      <c r="E17" s="5">
        <v>8.9499999999999993</v>
      </c>
    </row>
    <row r="18" spans="1:5" x14ac:dyDescent="0.25">
      <c r="A18" s="4" t="s">
        <v>23</v>
      </c>
      <c r="B18" s="4">
        <v>10</v>
      </c>
      <c r="C18" s="4">
        <v>30.68</v>
      </c>
      <c r="D18" s="4">
        <v>3.07</v>
      </c>
      <c r="E18" s="4">
        <v>8.67</v>
      </c>
    </row>
    <row r="19" spans="1:5" x14ac:dyDescent="0.25">
      <c r="A19" s="5" t="s">
        <v>19</v>
      </c>
      <c r="B19" s="5">
        <v>9</v>
      </c>
      <c r="C19" s="5">
        <v>30.28</v>
      </c>
      <c r="D19" s="5">
        <v>3.36</v>
      </c>
      <c r="E19" s="5">
        <v>9.0500000000000007</v>
      </c>
    </row>
    <row r="20" spans="1:5" x14ac:dyDescent="0.25">
      <c r="A20" s="4" t="s">
        <v>9</v>
      </c>
      <c r="B20" s="4">
        <v>19</v>
      </c>
      <c r="C20" s="4">
        <v>29.65</v>
      </c>
      <c r="D20" s="4">
        <v>1.56</v>
      </c>
      <c r="E20" s="4">
        <v>9.1</v>
      </c>
    </row>
    <row r="21" spans="1:5" x14ac:dyDescent="0.25">
      <c r="A21" s="5" t="s">
        <v>32</v>
      </c>
      <c r="B21" s="5">
        <v>13</v>
      </c>
      <c r="C21" s="5">
        <v>27.83</v>
      </c>
      <c r="D21" s="5">
        <v>2.14</v>
      </c>
      <c r="E21" s="5">
        <v>9.68</v>
      </c>
    </row>
    <row r="22" spans="1:5" x14ac:dyDescent="0.25">
      <c r="A22" s="4" t="s">
        <v>29</v>
      </c>
      <c r="B22" s="4">
        <v>3</v>
      </c>
      <c r="C22" s="4">
        <v>27.18</v>
      </c>
      <c r="D22" s="4">
        <v>9.06</v>
      </c>
      <c r="E22" s="4">
        <v>9.27</v>
      </c>
    </row>
    <row r="23" spans="1:5" x14ac:dyDescent="0.25">
      <c r="A23" s="5" t="s">
        <v>17</v>
      </c>
      <c r="B23" s="5">
        <v>15</v>
      </c>
      <c r="C23" s="5">
        <v>26.28</v>
      </c>
      <c r="D23" s="5">
        <v>1.75</v>
      </c>
      <c r="E23" s="5">
        <v>8.58</v>
      </c>
    </row>
    <row r="24" spans="1:5" x14ac:dyDescent="0.25">
      <c r="A24" s="4" t="s">
        <v>30</v>
      </c>
      <c r="B24" s="4">
        <v>3</v>
      </c>
      <c r="C24" s="4">
        <v>24.4</v>
      </c>
      <c r="D24" s="4">
        <v>8.1300000000000008</v>
      </c>
      <c r="E24" s="4">
        <v>8.93</v>
      </c>
    </row>
    <row r="25" spans="1:5" x14ac:dyDescent="0.25">
      <c r="A25" s="5" t="s">
        <v>27</v>
      </c>
      <c r="B25" s="5">
        <v>8</v>
      </c>
      <c r="C25" s="5">
        <v>14.53</v>
      </c>
      <c r="D25" s="5">
        <v>1.82</v>
      </c>
      <c r="E25" s="5">
        <v>8.4</v>
      </c>
    </row>
    <row r="26" spans="1:5" x14ac:dyDescent="0.25">
      <c r="A26" s="4" t="s">
        <v>28</v>
      </c>
      <c r="B26" s="4">
        <v>1</v>
      </c>
      <c r="C26" s="4">
        <v>0.63</v>
      </c>
      <c r="D26" s="4">
        <v>0.63</v>
      </c>
      <c r="E26" s="4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A27" sqref="A27"/>
    </sheetView>
  </sheetViews>
  <sheetFormatPr defaultRowHeight="15" x14ac:dyDescent="0.25"/>
  <cols>
    <col min="1" max="1" width="40" customWidth="1"/>
    <col min="2" max="2" width="13" customWidth="1"/>
    <col min="3" max="3" width="17" customWidth="1"/>
    <col min="4" max="4" width="19" customWidth="1"/>
    <col min="5" max="5" width="16" customWidth="1"/>
    <col min="6" max="6" width="18" customWidth="1"/>
    <col min="7" max="7" width="15" customWidth="1"/>
  </cols>
  <sheetData>
    <row r="1" spans="1:7" ht="18.7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>
        <v>21</v>
      </c>
      <c r="C4" s="4">
        <v>35.4</v>
      </c>
      <c r="D4" s="4">
        <v>72</v>
      </c>
      <c r="E4" s="4">
        <v>1</v>
      </c>
      <c r="F4" s="4">
        <v>16</v>
      </c>
      <c r="G4" s="4">
        <v>4</v>
      </c>
    </row>
    <row r="5" spans="1:7" x14ac:dyDescent="0.25">
      <c r="A5" s="5" t="s">
        <v>10</v>
      </c>
      <c r="B5" s="5">
        <v>20</v>
      </c>
      <c r="C5" s="5">
        <v>31.2</v>
      </c>
      <c r="D5" s="5">
        <v>47</v>
      </c>
      <c r="E5" s="5">
        <v>0</v>
      </c>
      <c r="F5" s="5">
        <v>8</v>
      </c>
      <c r="G5" s="5">
        <v>12</v>
      </c>
    </row>
    <row r="6" spans="1:7" x14ac:dyDescent="0.25">
      <c r="A6" s="4" t="s">
        <v>11</v>
      </c>
      <c r="B6" s="4">
        <v>20</v>
      </c>
      <c r="C6" s="4">
        <v>49.3</v>
      </c>
      <c r="D6" s="4">
        <v>82</v>
      </c>
      <c r="E6" s="4">
        <v>5</v>
      </c>
      <c r="F6" s="4">
        <v>10</v>
      </c>
      <c r="G6" s="4">
        <v>5</v>
      </c>
    </row>
    <row r="7" spans="1:7" x14ac:dyDescent="0.25">
      <c r="A7" s="5" t="s">
        <v>12</v>
      </c>
      <c r="B7" s="5">
        <v>19</v>
      </c>
      <c r="C7" s="5">
        <v>35.1</v>
      </c>
      <c r="D7" s="5">
        <v>48</v>
      </c>
      <c r="E7" s="5">
        <v>0</v>
      </c>
      <c r="F7" s="5">
        <v>14</v>
      </c>
      <c r="G7" s="5">
        <v>5</v>
      </c>
    </row>
    <row r="8" spans="1:7" x14ac:dyDescent="0.25">
      <c r="A8" s="4" t="s">
        <v>13</v>
      </c>
      <c r="B8" s="4">
        <v>19</v>
      </c>
      <c r="C8" s="4">
        <v>34.4</v>
      </c>
      <c r="D8" s="4">
        <v>58</v>
      </c>
      <c r="E8" s="4">
        <v>0</v>
      </c>
      <c r="F8" s="4">
        <v>11</v>
      </c>
      <c r="G8" s="4">
        <v>8</v>
      </c>
    </row>
    <row r="9" spans="1:7" x14ac:dyDescent="0.25">
      <c r="A9" s="5" t="s">
        <v>14</v>
      </c>
      <c r="B9" s="5">
        <v>19</v>
      </c>
      <c r="C9" s="5">
        <v>51.5</v>
      </c>
      <c r="D9" s="5">
        <v>69</v>
      </c>
      <c r="E9" s="5">
        <v>4</v>
      </c>
      <c r="F9" s="5">
        <v>15</v>
      </c>
      <c r="G9" s="5">
        <v>0</v>
      </c>
    </row>
    <row r="10" spans="1:7" x14ac:dyDescent="0.25">
      <c r="A10" s="4" t="s">
        <v>15</v>
      </c>
      <c r="B10" s="4">
        <v>18</v>
      </c>
      <c r="C10" s="4">
        <v>32.700000000000003</v>
      </c>
      <c r="D10" s="4">
        <v>48</v>
      </c>
      <c r="E10" s="4">
        <v>0</v>
      </c>
      <c r="F10" s="4">
        <v>8</v>
      </c>
      <c r="G10" s="4">
        <v>10</v>
      </c>
    </row>
    <row r="11" spans="1:7" x14ac:dyDescent="0.25">
      <c r="A11" s="5" t="s">
        <v>16</v>
      </c>
      <c r="B11" s="5">
        <v>17</v>
      </c>
      <c r="C11" s="5">
        <v>42.9</v>
      </c>
      <c r="D11" s="5">
        <v>69</v>
      </c>
      <c r="E11" s="5">
        <v>3</v>
      </c>
      <c r="F11" s="5">
        <v>10</v>
      </c>
      <c r="G11" s="5">
        <v>4</v>
      </c>
    </row>
    <row r="12" spans="1:7" x14ac:dyDescent="0.25">
      <c r="A12" s="4" t="s">
        <v>17</v>
      </c>
      <c r="B12" s="4">
        <v>17</v>
      </c>
      <c r="C12" s="4">
        <v>57.5</v>
      </c>
      <c r="D12" s="4">
        <v>86</v>
      </c>
      <c r="E12" s="4">
        <v>4</v>
      </c>
      <c r="F12" s="4">
        <v>13</v>
      </c>
      <c r="G12" s="4">
        <v>0</v>
      </c>
    </row>
    <row r="13" spans="1:7" x14ac:dyDescent="0.25">
      <c r="A13" s="5" t="s">
        <v>18</v>
      </c>
      <c r="B13" s="5">
        <v>17</v>
      </c>
      <c r="C13" s="5">
        <v>52.9</v>
      </c>
      <c r="D13" s="5">
        <v>68</v>
      </c>
      <c r="E13" s="5">
        <v>5</v>
      </c>
      <c r="F13" s="5">
        <v>11</v>
      </c>
      <c r="G13" s="5">
        <v>1</v>
      </c>
    </row>
    <row r="14" spans="1:7" x14ac:dyDescent="0.25">
      <c r="A14" s="4" t="s">
        <v>19</v>
      </c>
      <c r="B14" s="4">
        <v>17</v>
      </c>
      <c r="C14" s="4">
        <v>34.9</v>
      </c>
      <c r="D14" s="4">
        <v>58</v>
      </c>
      <c r="E14" s="4">
        <v>0</v>
      </c>
      <c r="F14" s="4">
        <v>11</v>
      </c>
      <c r="G14" s="4">
        <v>6</v>
      </c>
    </row>
    <row r="15" spans="1:7" x14ac:dyDescent="0.25">
      <c r="A15" s="5" t="s">
        <v>20</v>
      </c>
      <c r="B15" s="5">
        <v>17</v>
      </c>
      <c r="C15" s="5">
        <v>40.5</v>
      </c>
      <c r="D15" s="5">
        <v>48</v>
      </c>
      <c r="E15" s="5">
        <v>0</v>
      </c>
      <c r="F15" s="5">
        <v>16</v>
      </c>
      <c r="G15" s="5">
        <v>1</v>
      </c>
    </row>
    <row r="16" spans="1:7" x14ac:dyDescent="0.25">
      <c r="A16" s="4" t="s">
        <v>21</v>
      </c>
      <c r="B16" s="4">
        <v>15</v>
      </c>
      <c r="C16" s="4">
        <v>27</v>
      </c>
      <c r="D16" s="4">
        <v>52</v>
      </c>
      <c r="E16" s="4">
        <v>0</v>
      </c>
      <c r="F16" s="4">
        <v>4</v>
      </c>
      <c r="G16" s="4">
        <v>11</v>
      </c>
    </row>
    <row r="17" spans="1:7" x14ac:dyDescent="0.25">
      <c r="A17" s="5" t="s">
        <v>22</v>
      </c>
      <c r="B17" s="5">
        <v>14</v>
      </c>
      <c r="C17" s="5">
        <v>22.6</v>
      </c>
      <c r="D17" s="5">
        <v>34</v>
      </c>
      <c r="E17" s="5">
        <v>0</v>
      </c>
      <c r="F17" s="5">
        <v>3</v>
      </c>
      <c r="G17" s="5">
        <v>11</v>
      </c>
    </row>
    <row r="18" spans="1:7" x14ac:dyDescent="0.25">
      <c r="A18" s="4" t="s">
        <v>23</v>
      </c>
      <c r="B18" s="4">
        <v>14</v>
      </c>
      <c r="C18" s="4">
        <v>41.1</v>
      </c>
      <c r="D18" s="4">
        <v>93</v>
      </c>
      <c r="E18" s="4">
        <v>2</v>
      </c>
      <c r="F18" s="4">
        <v>6</v>
      </c>
      <c r="G18" s="4">
        <v>6</v>
      </c>
    </row>
    <row r="19" spans="1:7" x14ac:dyDescent="0.25">
      <c r="A19" s="5" t="s">
        <v>24</v>
      </c>
      <c r="B19" s="5">
        <v>14</v>
      </c>
      <c r="C19" s="5">
        <v>52.1</v>
      </c>
      <c r="D19" s="5">
        <v>289</v>
      </c>
      <c r="E19" s="5">
        <v>2</v>
      </c>
      <c r="F19" s="5">
        <v>6</v>
      </c>
      <c r="G19" s="5">
        <v>6</v>
      </c>
    </row>
    <row r="20" spans="1:7" x14ac:dyDescent="0.25">
      <c r="A20" s="4" t="s">
        <v>25</v>
      </c>
      <c r="B20" s="4">
        <v>13</v>
      </c>
      <c r="C20" s="4">
        <v>27.5</v>
      </c>
      <c r="D20" s="4">
        <v>57</v>
      </c>
      <c r="E20" s="4">
        <v>0</v>
      </c>
      <c r="F20" s="4">
        <v>3</v>
      </c>
      <c r="G20" s="4">
        <v>10</v>
      </c>
    </row>
    <row r="21" spans="1:7" x14ac:dyDescent="0.25">
      <c r="A21" s="5" t="s">
        <v>26</v>
      </c>
      <c r="B21" s="5">
        <v>12</v>
      </c>
      <c r="C21" s="5">
        <v>63.1</v>
      </c>
      <c r="D21" s="5">
        <v>246</v>
      </c>
      <c r="E21" s="5">
        <v>3</v>
      </c>
      <c r="F21" s="5">
        <v>6</v>
      </c>
      <c r="G21" s="5">
        <v>3</v>
      </c>
    </row>
    <row r="22" spans="1:7" x14ac:dyDescent="0.25">
      <c r="A22" s="4" t="s">
        <v>27</v>
      </c>
      <c r="B22" s="4">
        <v>8</v>
      </c>
      <c r="C22" s="4">
        <v>52.8</v>
      </c>
      <c r="D22" s="4">
        <v>77</v>
      </c>
      <c r="E22" s="4">
        <v>2</v>
      </c>
      <c r="F22" s="4">
        <v>5</v>
      </c>
      <c r="G22" s="4">
        <v>1</v>
      </c>
    </row>
    <row r="23" spans="1:7" x14ac:dyDescent="0.25">
      <c r="A23" s="5" t="s">
        <v>28</v>
      </c>
      <c r="B23" s="5">
        <v>7</v>
      </c>
      <c r="C23" s="5">
        <v>30.1</v>
      </c>
      <c r="D23" s="5">
        <v>42</v>
      </c>
      <c r="E23" s="5">
        <v>0</v>
      </c>
      <c r="F23" s="5">
        <v>2</v>
      </c>
      <c r="G23" s="5">
        <v>5</v>
      </c>
    </row>
    <row r="24" spans="1:7" x14ac:dyDescent="0.25">
      <c r="A24" s="4" t="s">
        <v>29</v>
      </c>
      <c r="B24" s="4">
        <v>4</v>
      </c>
      <c r="C24" s="4">
        <v>21.5</v>
      </c>
      <c r="D24" s="4">
        <v>33</v>
      </c>
      <c r="E24" s="4">
        <v>0</v>
      </c>
      <c r="F24" s="4">
        <v>1</v>
      </c>
      <c r="G24" s="4">
        <v>3</v>
      </c>
    </row>
    <row r="25" spans="1:7" x14ac:dyDescent="0.25">
      <c r="A25" s="5" t="s">
        <v>30</v>
      </c>
      <c r="B25" s="5">
        <v>3</v>
      </c>
      <c r="C25" s="5">
        <v>23</v>
      </c>
      <c r="D25" s="5">
        <v>24</v>
      </c>
      <c r="E25" s="5">
        <v>0</v>
      </c>
      <c r="F25" s="5">
        <v>0</v>
      </c>
      <c r="G25" s="5">
        <v>3</v>
      </c>
    </row>
    <row r="26" spans="1:7" x14ac:dyDescent="0.25">
      <c r="A26" s="4" t="s">
        <v>31</v>
      </c>
      <c r="B26" s="4">
        <v>2</v>
      </c>
      <c r="C26" s="4">
        <v>26.5</v>
      </c>
      <c r="D26" s="4">
        <v>27</v>
      </c>
      <c r="E26" s="4">
        <v>0</v>
      </c>
      <c r="F26" s="4">
        <v>0</v>
      </c>
      <c r="G26" s="4">
        <v>2</v>
      </c>
    </row>
    <row r="27" spans="1:7" x14ac:dyDescent="0.25">
      <c r="A27" s="5" t="s">
        <v>32</v>
      </c>
      <c r="B27" s="5">
        <v>1</v>
      </c>
      <c r="C27" s="5">
        <v>16</v>
      </c>
      <c r="D27" s="5">
        <v>16</v>
      </c>
      <c r="E27" s="5">
        <v>0</v>
      </c>
      <c r="F27" s="5">
        <v>0</v>
      </c>
      <c r="G27" s="5">
        <v>1</v>
      </c>
    </row>
    <row r="28" spans="1:7" x14ac:dyDescent="0.25">
      <c r="A28" s="4" t="s">
        <v>33</v>
      </c>
      <c r="B28" s="4">
        <v>1</v>
      </c>
      <c r="C28" s="4">
        <v>76</v>
      </c>
      <c r="D28" s="4">
        <v>76</v>
      </c>
      <c r="E28" s="4">
        <v>1</v>
      </c>
      <c r="F28" s="4">
        <v>0</v>
      </c>
      <c r="G28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A3" sqref="A3:F32"/>
    </sheetView>
  </sheetViews>
  <sheetFormatPr defaultRowHeight="15" x14ac:dyDescent="0.25"/>
  <cols>
    <col min="1" max="1" width="40" customWidth="1"/>
    <col min="2" max="2" width="14" customWidth="1"/>
    <col min="3" max="3" width="16" customWidth="1"/>
    <col min="4" max="4" width="15" customWidth="1"/>
    <col min="5" max="5" width="19" customWidth="1"/>
    <col min="6" max="6" width="23" customWidth="1"/>
  </cols>
  <sheetData>
    <row r="1" spans="1:6" ht="18.75" x14ac:dyDescent="0.3">
      <c r="A1" s="1" t="s">
        <v>34</v>
      </c>
    </row>
    <row r="2" spans="1:6" x14ac:dyDescent="0.25">
      <c r="A2" s="2" t="s">
        <v>35</v>
      </c>
    </row>
    <row r="3" spans="1:6" x14ac:dyDescent="0.25">
      <c r="A3" s="3" t="s">
        <v>2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</row>
    <row r="4" spans="1:6" x14ac:dyDescent="0.25">
      <c r="A4" s="4" t="s">
        <v>41</v>
      </c>
      <c r="B4" s="4">
        <v>31</v>
      </c>
      <c r="C4" s="4">
        <v>0</v>
      </c>
      <c r="D4" s="4">
        <v>26</v>
      </c>
      <c r="E4" s="4">
        <v>0</v>
      </c>
      <c r="F4" s="4">
        <v>0</v>
      </c>
    </row>
    <row r="5" spans="1:6" x14ac:dyDescent="0.25">
      <c r="A5" s="5" t="s">
        <v>42</v>
      </c>
      <c r="B5" s="5">
        <v>31</v>
      </c>
      <c r="C5" s="5">
        <v>0</v>
      </c>
      <c r="D5" s="5">
        <v>26</v>
      </c>
      <c r="E5" s="5">
        <v>0</v>
      </c>
      <c r="F5" s="5">
        <v>0</v>
      </c>
    </row>
    <row r="6" spans="1:6" x14ac:dyDescent="0.25">
      <c r="A6" s="4" t="s">
        <v>43</v>
      </c>
      <c r="B6" s="4">
        <v>31</v>
      </c>
      <c r="C6" s="4">
        <v>0</v>
      </c>
      <c r="D6" s="4">
        <v>26</v>
      </c>
      <c r="E6" s="4">
        <v>0</v>
      </c>
      <c r="F6" s="4">
        <v>0</v>
      </c>
    </row>
    <row r="7" spans="1:6" x14ac:dyDescent="0.25">
      <c r="A7" s="5" t="s">
        <v>33</v>
      </c>
      <c r="B7" s="5">
        <v>31</v>
      </c>
      <c r="C7" s="5">
        <v>1</v>
      </c>
      <c r="D7" s="5">
        <v>25</v>
      </c>
      <c r="E7" s="5">
        <v>0</v>
      </c>
      <c r="F7" s="5">
        <v>3.8</v>
      </c>
    </row>
    <row r="8" spans="1:6" x14ac:dyDescent="0.25">
      <c r="A8" s="4" t="s">
        <v>31</v>
      </c>
      <c r="B8" s="4">
        <v>31</v>
      </c>
      <c r="C8" s="4">
        <v>4</v>
      </c>
      <c r="D8" s="4">
        <v>22</v>
      </c>
      <c r="E8" s="4">
        <v>0</v>
      </c>
      <c r="F8" s="4">
        <v>15.4</v>
      </c>
    </row>
    <row r="9" spans="1:6" x14ac:dyDescent="0.25">
      <c r="A9" s="5" t="s">
        <v>27</v>
      </c>
      <c r="B9" s="5">
        <v>31</v>
      </c>
      <c r="C9" s="5">
        <v>8</v>
      </c>
      <c r="D9" s="5">
        <v>18</v>
      </c>
      <c r="E9" s="5">
        <v>1</v>
      </c>
      <c r="F9" s="5">
        <v>30.8</v>
      </c>
    </row>
    <row r="10" spans="1:6" x14ac:dyDescent="0.25">
      <c r="A10" s="4" t="s">
        <v>28</v>
      </c>
      <c r="B10" s="4">
        <v>31</v>
      </c>
      <c r="C10" s="4">
        <v>8</v>
      </c>
      <c r="D10" s="4">
        <v>18</v>
      </c>
      <c r="E10" s="4">
        <v>0</v>
      </c>
      <c r="F10" s="4">
        <v>30.8</v>
      </c>
    </row>
    <row r="11" spans="1:6" x14ac:dyDescent="0.25">
      <c r="A11" s="5" t="s">
        <v>30</v>
      </c>
      <c r="B11" s="5">
        <v>31</v>
      </c>
      <c r="C11" s="5">
        <v>12</v>
      </c>
      <c r="D11" s="5">
        <v>14</v>
      </c>
      <c r="E11" s="5">
        <v>3</v>
      </c>
      <c r="F11" s="5">
        <v>46.2</v>
      </c>
    </row>
    <row r="12" spans="1:6" x14ac:dyDescent="0.25">
      <c r="A12" s="4" t="s">
        <v>32</v>
      </c>
      <c r="B12" s="4">
        <v>31</v>
      </c>
      <c r="C12" s="4">
        <v>13</v>
      </c>
      <c r="D12" s="4">
        <v>13</v>
      </c>
      <c r="E12" s="4">
        <v>2</v>
      </c>
      <c r="F12" s="4">
        <v>50</v>
      </c>
    </row>
    <row r="13" spans="1:6" x14ac:dyDescent="0.25">
      <c r="A13" s="5" t="s">
        <v>24</v>
      </c>
      <c r="B13" s="5">
        <v>31</v>
      </c>
      <c r="C13" s="5">
        <v>17</v>
      </c>
      <c r="D13" s="5">
        <v>9</v>
      </c>
      <c r="E13" s="5">
        <v>3</v>
      </c>
      <c r="F13" s="5">
        <v>65.400000000000006</v>
      </c>
    </row>
    <row r="14" spans="1:6" x14ac:dyDescent="0.25">
      <c r="A14" s="4" t="s">
        <v>16</v>
      </c>
      <c r="B14" s="4">
        <v>31</v>
      </c>
      <c r="C14" s="4">
        <v>17</v>
      </c>
      <c r="D14" s="4">
        <v>9</v>
      </c>
      <c r="E14" s="4">
        <v>4</v>
      </c>
      <c r="F14" s="4">
        <v>65.400000000000006</v>
      </c>
    </row>
    <row r="15" spans="1:6" x14ac:dyDescent="0.25">
      <c r="A15" s="5" t="s">
        <v>17</v>
      </c>
      <c r="B15" s="5">
        <v>31</v>
      </c>
      <c r="C15" s="5">
        <v>17</v>
      </c>
      <c r="D15" s="5">
        <v>9</v>
      </c>
      <c r="E15" s="5">
        <v>2</v>
      </c>
      <c r="F15" s="5">
        <v>65.400000000000006</v>
      </c>
    </row>
    <row r="16" spans="1:6" x14ac:dyDescent="0.25">
      <c r="A16" s="4" t="s">
        <v>18</v>
      </c>
      <c r="B16" s="4">
        <v>31</v>
      </c>
      <c r="C16" s="4">
        <v>18</v>
      </c>
      <c r="D16" s="4">
        <v>8</v>
      </c>
      <c r="E16" s="4">
        <v>3</v>
      </c>
      <c r="F16" s="4">
        <v>69.2</v>
      </c>
    </row>
    <row r="17" spans="1:6" x14ac:dyDescent="0.25">
      <c r="A17" s="5" t="s">
        <v>20</v>
      </c>
      <c r="B17" s="5">
        <v>31</v>
      </c>
      <c r="C17" s="5">
        <v>18</v>
      </c>
      <c r="D17" s="5">
        <v>8</v>
      </c>
      <c r="E17" s="5">
        <v>4</v>
      </c>
      <c r="F17" s="5">
        <v>69.2</v>
      </c>
    </row>
    <row r="18" spans="1:6" x14ac:dyDescent="0.25">
      <c r="A18" s="4" t="s">
        <v>19</v>
      </c>
      <c r="B18" s="4">
        <v>31</v>
      </c>
      <c r="C18" s="4">
        <v>19</v>
      </c>
      <c r="D18" s="4">
        <v>7</v>
      </c>
      <c r="E18" s="4">
        <v>3</v>
      </c>
      <c r="F18" s="4">
        <v>73.099999999999994</v>
      </c>
    </row>
    <row r="19" spans="1:6" x14ac:dyDescent="0.25">
      <c r="A19" s="5" t="s">
        <v>23</v>
      </c>
      <c r="B19" s="5">
        <v>31</v>
      </c>
      <c r="C19" s="5">
        <v>19</v>
      </c>
      <c r="D19" s="5">
        <v>7</v>
      </c>
      <c r="E19" s="5">
        <v>3</v>
      </c>
      <c r="F19" s="5">
        <v>73.099999999999994</v>
      </c>
    </row>
    <row r="20" spans="1:6" x14ac:dyDescent="0.25">
      <c r="A20" s="4" t="s">
        <v>12</v>
      </c>
      <c r="B20" s="4">
        <v>31</v>
      </c>
      <c r="C20" s="4">
        <v>19</v>
      </c>
      <c r="D20" s="4">
        <v>7</v>
      </c>
      <c r="E20" s="4">
        <v>3</v>
      </c>
      <c r="F20" s="4">
        <v>73.099999999999994</v>
      </c>
    </row>
    <row r="21" spans="1:6" x14ac:dyDescent="0.25">
      <c r="A21" s="5" t="s">
        <v>14</v>
      </c>
      <c r="B21" s="5">
        <v>31</v>
      </c>
      <c r="C21" s="5">
        <v>19</v>
      </c>
      <c r="D21" s="5">
        <v>7</v>
      </c>
      <c r="E21" s="5">
        <v>3</v>
      </c>
      <c r="F21" s="5">
        <v>73.099999999999994</v>
      </c>
    </row>
    <row r="22" spans="1:6" x14ac:dyDescent="0.25">
      <c r="A22" s="4" t="s">
        <v>21</v>
      </c>
      <c r="B22" s="4">
        <v>31</v>
      </c>
      <c r="C22" s="4">
        <v>19</v>
      </c>
      <c r="D22" s="4">
        <v>7</v>
      </c>
      <c r="E22" s="4">
        <v>4</v>
      </c>
      <c r="F22" s="4">
        <v>73.099999999999994</v>
      </c>
    </row>
    <row r="23" spans="1:6" x14ac:dyDescent="0.25">
      <c r="A23" s="5" t="s">
        <v>13</v>
      </c>
      <c r="B23" s="5">
        <v>31</v>
      </c>
      <c r="C23" s="5">
        <v>19</v>
      </c>
      <c r="D23" s="5">
        <v>7</v>
      </c>
      <c r="E23" s="5">
        <v>4</v>
      </c>
      <c r="F23" s="5">
        <v>73.099999999999994</v>
      </c>
    </row>
    <row r="24" spans="1:6" x14ac:dyDescent="0.25">
      <c r="A24" s="4" t="s">
        <v>15</v>
      </c>
      <c r="B24" s="4">
        <v>31</v>
      </c>
      <c r="C24" s="4">
        <v>20</v>
      </c>
      <c r="D24" s="4">
        <v>6</v>
      </c>
      <c r="E24" s="4">
        <v>4</v>
      </c>
      <c r="F24" s="4">
        <v>76.900000000000006</v>
      </c>
    </row>
    <row r="25" spans="1:6" x14ac:dyDescent="0.25">
      <c r="A25" s="5" t="s">
        <v>11</v>
      </c>
      <c r="B25" s="5">
        <v>31</v>
      </c>
      <c r="C25" s="5">
        <v>20</v>
      </c>
      <c r="D25" s="5">
        <v>6</v>
      </c>
      <c r="E25" s="5">
        <v>4</v>
      </c>
      <c r="F25" s="5">
        <v>76.900000000000006</v>
      </c>
    </row>
    <row r="26" spans="1:6" x14ac:dyDescent="0.25">
      <c r="A26" s="4" t="s">
        <v>44</v>
      </c>
      <c r="B26" s="4">
        <v>31</v>
      </c>
      <c r="C26" s="4">
        <v>20</v>
      </c>
      <c r="D26" s="4">
        <v>6</v>
      </c>
      <c r="E26" s="4">
        <v>0</v>
      </c>
      <c r="F26" s="4">
        <v>76.900000000000006</v>
      </c>
    </row>
    <row r="27" spans="1:6" x14ac:dyDescent="0.25">
      <c r="A27" s="5" t="s">
        <v>25</v>
      </c>
      <c r="B27" s="5">
        <v>31</v>
      </c>
      <c r="C27" s="5">
        <v>20</v>
      </c>
      <c r="D27" s="5">
        <v>6</v>
      </c>
      <c r="E27" s="5">
        <v>3</v>
      </c>
      <c r="F27" s="5">
        <v>76.900000000000006</v>
      </c>
    </row>
    <row r="28" spans="1:6" x14ac:dyDescent="0.25">
      <c r="A28" s="4" t="s">
        <v>9</v>
      </c>
      <c r="B28" s="4">
        <v>31</v>
      </c>
      <c r="C28" s="4">
        <v>21</v>
      </c>
      <c r="D28" s="4">
        <v>5</v>
      </c>
      <c r="E28" s="4">
        <v>2</v>
      </c>
      <c r="F28" s="4">
        <v>80.8</v>
      </c>
    </row>
    <row r="29" spans="1:6" x14ac:dyDescent="0.25">
      <c r="A29" s="5" t="s">
        <v>22</v>
      </c>
      <c r="B29" s="5">
        <v>31</v>
      </c>
      <c r="C29" s="5">
        <v>21</v>
      </c>
      <c r="D29" s="5">
        <v>5</v>
      </c>
      <c r="E29" s="5">
        <v>4</v>
      </c>
      <c r="F29" s="5">
        <v>80.8</v>
      </c>
    </row>
    <row r="30" spans="1:6" x14ac:dyDescent="0.25">
      <c r="A30" s="4" t="s">
        <v>10</v>
      </c>
      <c r="B30" s="4">
        <v>31</v>
      </c>
      <c r="C30" s="4">
        <v>21</v>
      </c>
      <c r="D30" s="4">
        <v>5</v>
      </c>
      <c r="E30" s="4">
        <v>3</v>
      </c>
      <c r="F30" s="4">
        <v>80.8</v>
      </c>
    </row>
    <row r="31" spans="1:6" x14ac:dyDescent="0.25">
      <c r="A31" s="5" t="s">
        <v>29</v>
      </c>
      <c r="B31" s="5">
        <v>31</v>
      </c>
      <c r="C31" s="5">
        <v>21</v>
      </c>
      <c r="D31" s="5">
        <v>5</v>
      </c>
      <c r="E31" s="5">
        <v>3</v>
      </c>
      <c r="F31" s="5">
        <v>80.8</v>
      </c>
    </row>
    <row r="32" spans="1:6" x14ac:dyDescent="0.25">
      <c r="A32" s="4" t="s">
        <v>26</v>
      </c>
      <c r="B32" s="4">
        <v>31</v>
      </c>
      <c r="C32" s="4">
        <v>21</v>
      </c>
      <c r="D32" s="4">
        <v>5</v>
      </c>
      <c r="E32" s="4">
        <v>4</v>
      </c>
      <c r="F32" s="4">
        <v>80.8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cols>
    <col min="1" max="1" width="40" customWidth="1"/>
    <col min="2" max="3" width="16" customWidth="1"/>
  </cols>
  <sheetData>
    <row r="1" spans="1:3" ht="18.75" x14ac:dyDescent="0.3">
      <c r="A1" s="1" t="s">
        <v>51</v>
      </c>
    </row>
    <row r="2" spans="1:3" x14ac:dyDescent="0.25">
      <c r="A2" s="2" t="s">
        <v>52</v>
      </c>
    </row>
    <row r="3" spans="1:3" x14ac:dyDescent="0.25">
      <c r="A3" s="3" t="s">
        <v>53</v>
      </c>
      <c r="B3" s="3" t="s">
        <v>54</v>
      </c>
      <c r="C3" s="3" t="s">
        <v>55</v>
      </c>
    </row>
    <row r="4" spans="1:3" x14ac:dyDescent="0.25">
      <c r="A4" s="4" t="s">
        <v>56</v>
      </c>
      <c r="B4" s="4">
        <v>397</v>
      </c>
      <c r="C4" s="4">
        <v>44.2</v>
      </c>
    </row>
    <row r="5" spans="1:3" x14ac:dyDescent="0.25">
      <c r="A5" s="5" t="s">
        <v>57</v>
      </c>
      <c r="B5" s="5">
        <v>271</v>
      </c>
      <c r="C5" s="5">
        <v>30.1</v>
      </c>
    </row>
    <row r="6" spans="1:3" x14ac:dyDescent="0.25">
      <c r="A6" s="4" t="s">
        <v>58</v>
      </c>
      <c r="B6" s="4">
        <v>204</v>
      </c>
      <c r="C6" s="4">
        <v>22.7</v>
      </c>
    </row>
    <row r="7" spans="1:3" x14ac:dyDescent="0.25">
      <c r="A7" s="5" t="s">
        <v>59</v>
      </c>
      <c r="B7" s="5">
        <v>16</v>
      </c>
      <c r="C7" s="5">
        <v>1.8</v>
      </c>
    </row>
    <row r="8" spans="1:3" x14ac:dyDescent="0.25">
      <c r="A8" s="4" t="s">
        <v>60</v>
      </c>
      <c r="B8" s="4">
        <v>10</v>
      </c>
      <c r="C8" s="4">
        <v>1.1000000000000001</v>
      </c>
    </row>
    <row r="9" spans="1:3" x14ac:dyDescent="0.25">
      <c r="A9" s="5" t="s">
        <v>61</v>
      </c>
      <c r="B9" s="5">
        <v>1</v>
      </c>
      <c r="C9" s="5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activeCell="F4" sqref="F4:F32"/>
    </sheetView>
  </sheetViews>
  <sheetFormatPr defaultRowHeight="15" x14ac:dyDescent="0.25"/>
  <cols>
    <col min="1" max="1" width="40" customWidth="1"/>
    <col min="2" max="2" width="15" customWidth="1"/>
    <col min="3" max="3" width="20" customWidth="1"/>
    <col min="4" max="4" width="19" customWidth="1"/>
    <col min="5" max="5" width="23" customWidth="1"/>
    <col min="6" max="6" width="31" customWidth="1"/>
  </cols>
  <sheetData>
    <row r="1" spans="1:6" ht="18.75" x14ac:dyDescent="0.3">
      <c r="A1" s="1" t="s">
        <v>62</v>
      </c>
    </row>
    <row r="2" spans="1:6" x14ac:dyDescent="0.25">
      <c r="A2" s="2" t="s">
        <v>63</v>
      </c>
    </row>
    <row r="3" spans="1:6" x14ac:dyDescent="0.25">
      <c r="A3" s="3" t="s">
        <v>2</v>
      </c>
      <c r="B3" s="3" t="s">
        <v>38</v>
      </c>
      <c r="C3" s="3" t="s">
        <v>64</v>
      </c>
      <c r="D3" s="3" t="s">
        <v>65</v>
      </c>
      <c r="E3" s="3" t="s">
        <v>40</v>
      </c>
      <c r="F3" s="3" t="s">
        <v>66</v>
      </c>
    </row>
    <row r="4" spans="1:6" x14ac:dyDescent="0.25">
      <c r="A4" s="4" t="s">
        <v>41</v>
      </c>
      <c r="B4" s="4">
        <v>26</v>
      </c>
      <c r="C4" s="4">
        <v>0</v>
      </c>
      <c r="D4" s="4">
        <v>0</v>
      </c>
      <c r="E4" s="4">
        <v>0</v>
      </c>
      <c r="F4" s="6" t="s">
        <v>67</v>
      </c>
    </row>
    <row r="5" spans="1:6" x14ac:dyDescent="0.25">
      <c r="A5" s="5" t="s">
        <v>42</v>
      </c>
      <c r="B5" s="5">
        <v>26</v>
      </c>
      <c r="C5" s="5">
        <v>0</v>
      </c>
      <c r="D5" s="5">
        <v>0</v>
      </c>
      <c r="E5" s="5">
        <v>0</v>
      </c>
      <c r="F5" s="6" t="s">
        <v>67</v>
      </c>
    </row>
    <row r="6" spans="1:6" x14ac:dyDescent="0.25">
      <c r="A6" s="4" t="s">
        <v>43</v>
      </c>
      <c r="B6" s="4">
        <v>26</v>
      </c>
      <c r="C6" s="4">
        <v>0</v>
      </c>
      <c r="D6" s="4">
        <v>0</v>
      </c>
      <c r="E6" s="4">
        <v>0</v>
      </c>
      <c r="F6" s="6" t="s">
        <v>67</v>
      </c>
    </row>
    <row r="7" spans="1:6" x14ac:dyDescent="0.25">
      <c r="A7" s="5" t="s">
        <v>33</v>
      </c>
      <c r="B7" s="5">
        <v>25</v>
      </c>
      <c r="C7" s="5">
        <v>1</v>
      </c>
      <c r="D7" s="5">
        <v>1</v>
      </c>
      <c r="E7" s="5">
        <v>3.8</v>
      </c>
      <c r="F7" s="6" t="s">
        <v>67</v>
      </c>
    </row>
    <row r="8" spans="1:6" x14ac:dyDescent="0.25">
      <c r="A8" s="4" t="s">
        <v>31</v>
      </c>
      <c r="B8" s="4">
        <v>22</v>
      </c>
      <c r="C8" s="4">
        <v>0</v>
      </c>
      <c r="D8" s="4">
        <v>0</v>
      </c>
      <c r="E8" s="4">
        <v>15.4</v>
      </c>
      <c r="F8" s="6" t="s">
        <v>67</v>
      </c>
    </row>
    <row r="9" spans="1:6" x14ac:dyDescent="0.25">
      <c r="A9" s="5" t="s">
        <v>27</v>
      </c>
      <c r="B9" s="5">
        <v>18</v>
      </c>
      <c r="C9" s="5">
        <v>2</v>
      </c>
      <c r="D9" s="5">
        <v>7</v>
      </c>
      <c r="E9" s="5">
        <v>30.8</v>
      </c>
      <c r="F9" s="6" t="s">
        <v>67</v>
      </c>
    </row>
    <row r="10" spans="1:6" x14ac:dyDescent="0.25">
      <c r="A10" s="4" t="s">
        <v>28</v>
      </c>
      <c r="B10" s="4">
        <v>18</v>
      </c>
      <c r="C10" s="4">
        <v>0</v>
      </c>
      <c r="D10" s="4">
        <v>2</v>
      </c>
      <c r="E10" s="4">
        <v>30.8</v>
      </c>
      <c r="F10" s="6" t="s">
        <v>67</v>
      </c>
    </row>
    <row r="11" spans="1:6" x14ac:dyDescent="0.25">
      <c r="A11" s="5" t="s">
        <v>30</v>
      </c>
      <c r="B11" s="5">
        <v>14</v>
      </c>
      <c r="C11" s="5">
        <v>0</v>
      </c>
      <c r="D11" s="5">
        <v>0</v>
      </c>
      <c r="E11" s="5">
        <v>46.2</v>
      </c>
      <c r="F11" s="7" t="s">
        <v>68</v>
      </c>
    </row>
    <row r="12" spans="1:6" x14ac:dyDescent="0.25">
      <c r="A12" s="4" t="s">
        <v>32</v>
      </c>
      <c r="B12" s="4">
        <v>13</v>
      </c>
      <c r="C12" s="4">
        <v>0</v>
      </c>
      <c r="D12" s="4">
        <v>0</v>
      </c>
      <c r="E12" s="4">
        <v>50</v>
      </c>
      <c r="F12" s="7" t="s">
        <v>68</v>
      </c>
    </row>
    <row r="13" spans="1:6" x14ac:dyDescent="0.25">
      <c r="A13" s="5" t="s">
        <v>17</v>
      </c>
      <c r="B13" s="5">
        <v>9</v>
      </c>
      <c r="C13" s="5">
        <v>4</v>
      </c>
      <c r="D13" s="5">
        <v>17</v>
      </c>
      <c r="E13" s="5">
        <v>65.400000000000006</v>
      </c>
      <c r="F13" s="8" t="s">
        <v>69</v>
      </c>
    </row>
    <row r="14" spans="1:6" x14ac:dyDescent="0.25">
      <c r="A14" s="4" t="s">
        <v>16</v>
      </c>
      <c r="B14" s="4">
        <v>9</v>
      </c>
      <c r="C14" s="4">
        <v>3</v>
      </c>
      <c r="D14" s="4">
        <v>13</v>
      </c>
      <c r="E14" s="4">
        <v>65.400000000000006</v>
      </c>
      <c r="F14" s="8" t="s">
        <v>69</v>
      </c>
    </row>
    <row r="15" spans="1:6" x14ac:dyDescent="0.25">
      <c r="A15" s="5" t="s">
        <v>24</v>
      </c>
      <c r="B15" s="5">
        <v>9</v>
      </c>
      <c r="C15" s="5">
        <v>2</v>
      </c>
      <c r="D15" s="5">
        <v>8</v>
      </c>
      <c r="E15" s="5">
        <v>65.400000000000006</v>
      </c>
      <c r="F15" s="9" t="s">
        <v>70</v>
      </c>
    </row>
    <row r="16" spans="1:6" x14ac:dyDescent="0.25">
      <c r="A16" s="4" t="s">
        <v>18</v>
      </c>
      <c r="B16" s="4">
        <v>8</v>
      </c>
      <c r="C16" s="4">
        <v>5</v>
      </c>
      <c r="D16" s="4">
        <v>16</v>
      </c>
      <c r="E16" s="4">
        <v>69.2</v>
      </c>
      <c r="F16" s="8" t="s">
        <v>69</v>
      </c>
    </row>
    <row r="17" spans="1:6" x14ac:dyDescent="0.25">
      <c r="A17" s="5" t="s">
        <v>20</v>
      </c>
      <c r="B17" s="5">
        <v>8</v>
      </c>
      <c r="C17" s="5">
        <v>0</v>
      </c>
      <c r="D17" s="5">
        <v>16</v>
      </c>
      <c r="E17" s="5">
        <v>69.2</v>
      </c>
      <c r="F17" s="9" t="s">
        <v>70</v>
      </c>
    </row>
    <row r="18" spans="1:6" x14ac:dyDescent="0.25">
      <c r="A18" s="4" t="s">
        <v>14</v>
      </c>
      <c r="B18" s="4">
        <v>7</v>
      </c>
      <c r="C18" s="4">
        <v>4</v>
      </c>
      <c r="D18" s="4">
        <v>19</v>
      </c>
      <c r="E18" s="4">
        <v>73.099999999999994</v>
      </c>
      <c r="F18" s="8" t="s">
        <v>69</v>
      </c>
    </row>
    <row r="19" spans="1:6" x14ac:dyDescent="0.25">
      <c r="A19" s="5" t="s">
        <v>23</v>
      </c>
      <c r="B19" s="5">
        <v>7</v>
      </c>
      <c r="C19" s="5">
        <v>2</v>
      </c>
      <c r="D19" s="5">
        <v>8</v>
      </c>
      <c r="E19" s="5">
        <v>73.099999999999994</v>
      </c>
      <c r="F19" s="9" t="s">
        <v>70</v>
      </c>
    </row>
    <row r="20" spans="1:6" x14ac:dyDescent="0.25">
      <c r="A20" s="4" t="s">
        <v>12</v>
      </c>
      <c r="B20" s="4">
        <v>7</v>
      </c>
      <c r="C20" s="4">
        <v>0</v>
      </c>
      <c r="D20" s="4">
        <v>14</v>
      </c>
      <c r="E20" s="4">
        <v>73.099999999999994</v>
      </c>
      <c r="F20" s="9" t="s">
        <v>70</v>
      </c>
    </row>
    <row r="21" spans="1:6" x14ac:dyDescent="0.25">
      <c r="A21" s="5" t="s">
        <v>21</v>
      </c>
      <c r="B21" s="5">
        <v>7</v>
      </c>
      <c r="C21" s="5">
        <v>0</v>
      </c>
      <c r="D21" s="5">
        <v>4</v>
      </c>
      <c r="E21" s="5">
        <v>73.099999999999994</v>
      </c>
      <c r="F21" s="9" t="s">
        <v>70</v>
      </c>
    </row>
    <row r="22" spans="1:6" x14ac:dyDescent="0.25">
      <c r="A22" s="4" t="s">
        <v>19</v>
      </c>
      <c r="B22" s="4">
        <v>7</v>
      </c>
      <c r="C22" s="4">
        <v>0</v>
      </c>
      <c r="D22" s="4">
        <v>11</v>
      </c>
      <c r="E22" s="4">
        <v>73.099999999999994</v>
      </c>
      <c r="F22" s="9" t="s">
        <v>70</v>
      </c>
    </row>
    <row r="23" spans="1:6" x14ac:dyDescent="0.25">
      <c r="A23" s="5" t="s">
        <v>13</v>
      </c>
      <c r="B23" s="5">
        <v>7</v>
      </c>
      <c r="C23" s="5">
        <v>0</v>
      </c>
      <c r="D23" s="5">
        <v>11</v>
      </c>
      <c r="E23" s="5">
        <v>73.099999999999994</v>
      </c>
      <c r="F23" s="9" t="s">
        <v>70</v>
      </c>
    </row>
    <row r="24" spans="1:6" x14ac:dyDescent="0.25">
      <c r="A24" s="4" t="s">
        <v>11</v>
      </c>
      <c r="B24" s="4">
        <v>6</v>
      </c>
      <c r="C24" s="4">
        <v>5</v>
      </c>
      <c r="D24" s="4">
        <v>15</v>
      </c>
      <c r="E24" s="4">
        <v>76.900000000000006</v>
      </c>
      <c r="F24" s="8" t="s">
        <v>69</v>
      </c>
    </row>
    <row r="25" spans="1:6" x14ac:dyDescent="0.25">
      <c r="A25" s="5" t="s">
        <v>44</v>
      </c>
      <c r="B25" s="5">
        <v>6</v>
      </c>
      <c r="C25" s="5">
        <v>0</v>
      </c>
      <c r="D25" s="5">
        <v>0</v>
      </c>
      <c r="E25" s="5">
        <v>76.900000000000006</v>
      </c>
      <c r="F25" s="9" t="s">
        <v>70</v>
      </c>
    </row>
    <row r="26" spans="1:6" x14ac:dyDescent="0.25">
      <c r="A26" s="4" t="s">
        <v>25</v>
      </c>
      <c r="B26" s="4">
        <v>6</v>
      </c>
      <c r="C26" s="4">
        <v>0</v>
      </c>
      <c r="D26" s="4">
        <v>3</v>
      </c>
      <c r="E26" s="4">
        <v>76.900000000000006</v>
      </c>
      <c r="F26" s="9" t="s">
        <v>70</v>
      </c>
    </row>
    <row r="27" spans="1:6" x14ac:dyDescent="0.25">
      <c r="A27" s="5" t="s">
        <v>15</v>
      </c>
      <c r="B27" s="5">
        <v>6</v>
      </c>
      <c r="C27" s="5">
        <v>0</v>
      </c>
      <c r="D27" s="5">
        <v>8</v>
      </c>
      <c r="E27" s="5">
        <v>76.900000000000006</v>
      </c>
      <c r="F27" s="9" t="s">
        <v>70</v>
      </c>
    </row>
    <row r="28" spans="1:6" x14ac:dyDescent="0.25">
      <c r="A28" s="4" t="s">
        <v>26</v>
      </c>
      <c r="B28" s="4">
        <v>5</v>
      </c>
      <c r="C28" s="4">
        <v>3</v>
      </c>
      <c r="D28" s="4">
        <v>9</v>
      </c>
      <c r="E28" s="4">
        <v>80.8</v>
      </c>
      <c r="F28" s="8" t="s">
        <v>69</v>
      </c>
    </row>
    <row r="29" spans="1:6" x14ac:dyDescent="0.25">
      <c r="A29" s="5" t="s">
        <v>9</v>
      </c>
      <c r="B29" s="5">
        <v>5</v>
      </c>
      <c r="C29" s="5">
        <v>1</v>
      </c>
      <c r="D29" s="5">
        <v>17</v>
      </c>
      <c r="E29" s="5">
        <v>80.8</v>
      </c>
      <c r="F29" s="9" t="s">
        <v>70</v>
      </c>
    </row>
    <row r="30" spans="1:6" x14ac:dyDescent="0.25">
      <c r="A30" s="4" t="s">
        <v>22</v>
      </c>
      <c r="B30" s="4">
        <v>5</v>
      </c>
      <c r="C30" s="4">
        <v>0</v>
      </c>
      <c r="D30" s="4">
        <v>3</v>
      </c>
      <c r="E30" s="4">
        <v>80.8</v>
      </c>
      <c r="F30" s="9" t="s">
        <v>70</v>
      </c>
    </row>
    <row r="31" spans="1:6" x14ac:dyDescent="0.25">
      <c r="A31" s="5" t="s">
        <v>10</v>
      </c>
      <c r="B31" s="5">
        <v>5</v>
      </c>
      <c r="C31" s="5">
        <v>0</v>
      </c>
      <c r="D31" s="5">
        <v>8</v>
      </c>
      <c r="E31" s="5">
        <v>80.8</v>
      </c>
      <c r="F31" s="9" t="s">
        <v>70</v>
      </c>
    </row>
    <row r="32" spans="1:6" x14ac:dyDescent="0.25">
      <c r="A32" s="4" t="s">
        <v>29</v>
      </c>
      <c r="B32" s="4">
        <v>5</v>
      </c>
      <c r="C32" s="4">
        <v>0</v>
      </c>
      <c r="D32" s="4">
        <v>1</v>
      </c>
      <c r="E32" s="4">
        <v>80.8</v>
      </c>
      <c r="F32" s="9" t="s">
        <v>70</v>
      </c>
    </row>
  </sheetData>
  <conditionalFormatting sqref="F4:F32">
    <cfRule type="containsText" dxfId="0" priority="1" operator="containsText" text="Critical - immediate review">
      <formula>NOT(ISERROR(SEARCH("Critical - immediate review",F4)))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9BB-66F8-4CBE-B3F0-3E3E66805ABD}">
  <dimension ref="A1:B65"/>
  <sheetViews>
    <sheetView zoomScale="80" zoomScaleNormal="80" workbookViewId="0">
      <selection activeCell="D58" sqref="D58"/>
    </sheetView>
  </sheetViews>
  <sheetFormatPr defaultRowHeight="15" x14ac:dyDescent="0.25"/>
  <cols>
    <col min="1" max="1" width="14.140625" bestFit="1" customWidth="1"/>
    <col min="2" max="2" width="30.28515625" bestFit="1" customWidth="1"/>
    <col min="3" max="3" width="14.140625" bestFit="1" customWidth="1"/>
    <col min="4" max="4" width="26.7109375" bestFit="1" customWidth="1"/>
    <col min="5" max="5" width="6.7109375" bestFit="1" customWidth="1"/>
    <col min="6" max="6" width="6.28515625" bestFit="1" customWidth="1"/>
    <col min="7" max="7" width="5.85546875" bestFit="1" customWidth="1"/>
    <col min="8" max="8" width="6.42578125" bestFit="1" customWidth="1"/>
    <col min="9" max="9" width="5.5703125" bestFit="1" customWidth="1"/>
    <col min="10" max="10" width="6.5703125" bestFit="1" customWidth="1"/>
    <col min="11" max="11" width="5.5703125" bestFit="1" customWidth="1"/>
    <col min="12" max="12" width="7" bestFit="1" customWidth="1"/>
    <col min="13" max="13" width="4.5703125" bestFit="1" customWidth="1"/>
    <col min="14" max="14" width="5.85546875" bestFit="1" customWidth="1"/>
    <col min="15" max="15" width="5.5703125" bestFit="1" customWidth="1"/>
    <col min="16" max="16" width="5.85546875" bestFit="1" customWidth="1"/>
    <col min="17" max="17" width="7.85546875" bestFit="1" customWidth="1"/>
    <col min="18" max="18" width="7" bestFit="1" customWidth="1"/>
    <col min="19" max="19" width="5.85546875" bestFit="1" customWidth="1"/>
    <col min="20" max="20" width="7" bestFit="1" customWidth="1"/>
    <col min="21" max="21" width="5.5703125" bestFit="1" customWidth="1"/>
    <col min="22" max="22" width="8.7109375" bestFit="1" customWidth="1"/>
    <col min="23" max="23" width="5.5703125" bestFit="1" customWidth="1"/>
    <col min="24" max="24" width="6.42578125" bestFit="1" customWidth="1"/>
    <col min="25" max="25" width="7.140625" bestFit="1" customWidth="1"/>
    <col min="26" max="26" width="7" bestFit="1" customWidth="1"/>
    <col min="27" max="27" width="8.42578125" bestFit="1" customWidth="1"/>
    <col min="28" max="28" width="7" bestFit="1" customWidth="1"/>
    <col min="29" max="30" width="7.28515625" bestFit="1" customWidth="1"/>
    <col min="31" max="31" width="11.5703125" bestFit="1" customWidth="1"/>
  </cols>
  <sheetData>
    <row r="1" spans="1:2" x14ac:dyDescent="0.25">
      <c r="A1" s="13" t="s">
        <v>73</v>
      </c>
      <c r="B1" t="s">
        <v>76</v>
      </c>
    </row>
    <row r="2" spans="1:2" x14ac:dyDescent="0.25">
      <c r="A2" s="14" t="s">
        <v>42</v>
      </c>
      <c r="B2" s="15">
        <v>0</v>
      </c>
    </row>
    <row r="3" spans="1:2" x14ac:dyDescent="0.25">
      <c r="A3" s="14" t="s">
        <v>41</v>
      </c>
      <c r="B3" s="15">
        <v>0</v>
      </c>
    </row>
    <row r="4" spans="1:2" x14ac:dyDescent="0.25">
      <c r="A4" s="14" t="s">
        <v>43</v>
      </c>
      <c r="B4" s="15">
        <v>0</v>
      </c>
    </row>
    <row r="5" spans="1:2" x14ac:dyDescent="0.25">
      <c r="A5" s="14" t="s">
        <v>33</v>
      </c>
      <c r="B5" s="15">
        <v>3.8</v>
      </c>
    </row>
    <row r="6" spans="1:2" x14ac:dyDescent="0.25">
      <c r="A6" s="14" t="s">
        <v>31</v>
      </c>
      <c r="B6" s="15">
        <v>15.4</v>
      </c>
    </row>
    <row r="7" spans="1:2" x14ac:dyDescent="0.25">
      <c r="A7" s="14" t="s">
        <v>28</v>
      </c>
      <c r="B7" s="15">
        <v>30.8</v>
      </c>
    </row>
    <row r="8" spans="1:2" x14ac:dyDescent="0.25">
      <c r="A8" s="14" t="s">
        <v>27</v>
      </c>
      <c r="B8" s="15">
        <v>30.8</v>
      </c>
    </row>
    <row r="9" spans="1:2" x14ac:dyDescent="0.25">
      <c r="A9" s="14" t="s">
        <v>30</v>
      </c>
      <c r="B9" s="15">
        <v>46.2</v>
      </c>
    </row>
    <row r="10" spans="1:2" x14ac:dyDescent="0.25">
      <c r="A10" s="14" t="s">
        <v>32</v>
      </c>
      <c r="B10" s="15">
        <v>50</v>
      </c>
    </row>
    <row r="11" spans="1:2" x14ac:dyDescent="0.25">
      <c r="A11" s="14" t="s">
        <v>17</v>
      </c>
      <c r="B11" s="15">
        <v>65.400000000000006</v>
      </c>
    </row>
    <row r="12" spans="1:2" x14ac:dyDescent="0.25">
      <c r="A12" s="14" t="s">
        <v>16</v>
      </c>
      <c r="B12" s="15">
        <v>65.400000000000006</v>
      </c>
    </row>
    <row r="13" spans="1:2" x14ac:dyDescent="0.25">
      <c r="A13" s="14" t="s">
        <v>24</v>
      </c>
      <c r="B13" s="15">
        <v>65.400000000000006</v>
      </c>
    </row>
    <row r="14" spans="1:2" x14ac:dyDescent="0.25">
      <c r="A14" s="14" t="s">
        <v>20</v>
      </c>
      <c r="B14" s="15">
        <v>69.2</v>
      </c>
    </row>
    <row r="15" spans="1:2" x14ac:dyDescent="0.25">
      <c r="A15" s="14" t="s">
        <v>18</v>
      </c>
      <c r="B15" s="15">
        <v>69.2</v>
      </c>
    </row>
    <row r="16" spans="1:2" x14ac:dyDescent="0.25">
      <c r="A16" s="14" t="s">
        <v>19</v>
      </c>
      <c r="B16" s="15">
        <v>73.099999999999994</v>
      </c>
    </row>
    <row r="17" spans="1:2" x14ac:dyDescent="0.25">
      <c r="A17" s="14" t="s">
        <v>12</v>
      </c>
      <c r="B17" s="15">
        <v>73.099999999999994</v>
      </c>
    </row>
    <row r="18" spans="1:2" x14ac:dyDescent="0.25">
      <c r="A18" s="14" t="s">
        <v>23</v>
      </c>
      <c r="B18" s="15">
        <v>73.099999999999994</v>
      </c>
    </row>
    <row r="19" spans="1:2" x14ac:dyDescent="0.25">
      <c r="A19" s="14" t="s">
        <v>13</v>
      </c>
      <c r="B19" s="15">
        <v>73.099999999999994</v>
      </c>
    </row>
    <row r="20" spans="1:2" x14ac:dyDescent="0.25">
      <c r="A20" s="14" t="s">
        <v>14</v>
      </c>
      <c r="B20" s="15">
        <v>73.099999999999994</v>
      </c>
    </row>
    <row r="21" spans="1:2" x14ac:dyDescent="0.25">
      <c r="A21" s="14" t="s">
        <v>21</v>
      </c>
      <c r="B21" s="15">
        <v>73.099999999999994</v>
      </c>
    </row>
    <row r="22" spans="1:2" x14ac:dyDescent="0.25">
      <c r="A22" s="14" t="s">
        <v>25</v>
      </c>
      <c r="B22" s="15">
        <v>76.900000000000006</v>
      </c>
    </row>
    <row r="23" spans="1:2" x14ac:dyDescent="0.25">
      <c r="A23" s="14" t="s">
        <v>44</v>
      </c>
      <c r="B23" s="15">
        <v>76.900000000000006</v>
      </c>
    </row>
    <row r="24" spans="1:2" x14ac:dyDescent="0.25">
      <c r="A24" s="14" t="s">
        <v>11</v>
      </c>
      <c r="B24" s="15">
        <v>76.900000000000006</v>
      </c>
    </row>
    <row r="25" spans="1:2" x14ac:dyDescent="0.25">
      <c r="A25" s="14" t="s">
        <v>15</v>
      </c>
      <c r="B25" s="15">
        <v>76.900000000000006</v>
      </c>
    </row>
    <row r="26" spans="1:2" x14ac:dyDescent="0.25">
      <c r="A26" s="14" t="s">
        <v>26</v>
      </c>
      <c r="B26" s="15">
        <v>80.8</v>
      </c>
    </row>
    <row r="27" spans="1:2" x14ac:dyDescent="0.25">
      <c r="A27" s="14" t="s">
        <v>9</v>
      </c>
      <c r="B27" s="15">
        <v>80.8</v>
      </c>
    </row>
    <row r="28" spans="1:2" x14ac:dyDescent="0.25">
      <c r="A28" s="14" t="s">
        <v>29</v>
      </c>
      <c r="B28" s="15">
        <v>80.8</v>
      </c>
    </row>
    <row r="29" spans="1:2" x14ac:dyDescent="0.25">
      <c r="A29" s="14" t="s">
        <v>10</v>
      </c>
      <c r="B29" s="15">
        <v>80.8</v>
      </c>
    </row>
    <row r="30" spans="1:2" x14ac:dyDescent="0.25">
      <c r="A30" s="14" t="s">
        <v>22</v>
      </c>
      <c r="B30" s="15">
        <v>80.8</v>
      </c>
    </row>
    <row r="31" spans="1:2" x14ac:dyDescent="0.25">
      <c r="A31" s="14" t="s">
        <v>74</v>
      </c>
      <c r="B31" s="16">
        <v>57.303448275862074</v>
      </c>
    </row>
    <row r="35" spans="1:2" x14ac:dyDescent="0.25">
      <c r="A35" s="13" t="s">
        <v>73</v>
      </c>
      <c r="B35" t="s">
        <v>75</v>
      </c>
    </row>
    <row r="36" spans="1:2" x14ac:dyDescent="0.25">
      <c r="A36" s="14" t="s">
        <v>42</v>
      </c>
      <c r="B36" s="15">
        <v>0</v>
      </c>
    </row>
    <row r="37" spans="1:2" x14ac:dyDescent="0.25">
      <c r="A37" s="14" t="s">
        <v>41</v>
      </c>
      <c r="B37" s="15">
        <v>0</v>
      </c>
    </row>
    <row r="38" spans="1:2" x14ac:dyDescent="0.25">
      <c r="A38" s="14" t="s">
        <v>43</v>
      </c>
      <c r="B38" s="15">
        <v>0</v>
      </c>
    </row>
    <row r="39" spans="1:2" x14ac:dyDescent="0.25">
      <c r="A39" s="14" t="s">
        <v>33</v>
      </c>
      <c r="B39" s="15">
        <v>3.8</v>
      </c>
    </row>
    <row r="40" spans="1:2" x14ac:dyDescent="0.25">
      <c r="A40" s="14" t="s">
        <v>31</v>
      </c>
      <c r="B40" s="15">
        <v>15.4</v>
      </c>
    </row>
    <row r="41" spans="1:2" x14ac:dyDescent="0.25">
      <c r="A41" s="14" t="s">
        <v>28</v>
      </c>
      <c r="B41" s="15">
        <v>30.8</v>
      </c>
    </row>
    <row r="42" spans="1:2" x14ac:dyDescent="0.25">
      <c r="A42" s="14" t="s">
        <v>27</v>
      </c>
      <c r="B42" s="15">
        <v>30.8</v>
      </c>
    </row>
    <row r="43" spans="1:2" x14ac:dyDescent="0.25">
      <c r="A43" s="14" t="s">
        <v>30</v>
      </c>
      <c r="B43" s="15">
        <v>46.2</v>
      </c>
    </row>
    <row r="44" spans="1:2" x14ac:dyDescent="0.25">
      <c r="A44" s="14" t="s">
        <v>32</v>
      </c>
      <c r="B44" s="15">
        <v>50</v>
      </c>
    </row>
    <row r="45" spans="1:2" x14ac:dyDescent="0.25">
      <c r="A45" s="14" t="s">
        <v>17</v>
      </c>
      <c r="B45" s="15">
        <v>65.400000000000006</v>
      </c>
    </row>
    <row r="46" spans="1:2" x14ac:dyDescent="0.25">
      <c r="A46" s="14" t="s">
        <v>16</v>
      </c>
      <c r="B46" s="15">
        <v>65.400000000000006</v>
      </c>
    </row>
    <row r="47" spans="1:2" x14ac:dyDescent="0.25">
      <c r="A47" s="14" t="s">
        <v>24</v>
      </c>
      <c r="B47" s="15">
        <v>65.400000000000006</v>
      </c>
    </row>
    <row r="48" spans="1:2" x14ac:dyDescent="0.25">
      <c r="A48" s="14" t="s">
        <v>20</v>
      </c>
      <c r="B48" s="15">
        <v>69.2</v>
      </c>
    </row>
    <row r="49" spans="1:2" x14ac:dyDescent="0.25">
      <c r="A49" s="14" t="s">
        <v>18</v>
      </c>
      <c r="B49" s="15">
        <v>69.2</v>
      </c>
    </row>
    <row r="50" spans="1:2" x14ac:dyDescent="0.25">
      <c r="A50" s="14" t="s">
        <v>19</v>
      </c>
      <c r="B50" s="15">
        <v>73.099999999999994</v>
      </c>
    </row>
    <row r="51" spans="1:2" x14ac:dyDescent="0.25">
      <c r="A51" s="14" t="s">
        <v>12</v>
      </c>
      <c r="B51" s="15">
        <v>73.099999999999994</v>
      </c>
    </row>
    <row r="52" spans="1:2" x14ac:dyDescent="0.25">
      <c r="A52" s="14" t="s">
        <v>23</v>
      </c>
      <c r="B52" s="15">
        <v>73.099999999999994</v>
      </c>
    </row>
    <row r="53" spans="1:2" x14ac:dyDescent="0.25">
      <c r="A53" s="14" t="s">
        <v>13</v>
      </c>
      <c r="B53" s="15">
        <v>73.099999999999994</v>
      </c>
    </row>
    <row r="54" spans="1:2" x14ac:dyDescent="0.25">
      <c r="A54" s="14" t="s">
        <v>14</v>
      </c>
      <c r="B54" s="15">
        <v>73.099999999999994</v>
      </c>
    </row>
    <row r="55" spans="1:2" x14ac:dyDescent="0.25">
      <c r="A55" s="14" t="s">
        <v>21</v>
      </c>
      <c r="B55" s="15">
        <v>73.099999999999994</v>
      </c>
    </row>
    <row r="56" spans="1:2" x14ac:dyDescent="0.25">
      <c r="A56" s="14" t="s">
        <v>25</v>
      </c>
      <c r="B56" s="15">
        <v>76.900000000000006</v>
      </c>
    </row>
    <row r="57" spans="1:2" x14ac:dyDescent="0.25">
      <c r="A57" s="14" t="s">
        <v>44</v>
      </c>
      <c r="B57" s="15">
        <v>76.900000000000006</v>
      </c>
    </row>
    <row r="58" spans="1:2" x14ac:dyDescent="0.25">
      <c r="A58" s="14" t="s">
        <v>11</v>
      </c>
      <c r="B58" s="15">
        <v>76.900000000000006</v>
      </c>
    </row>
    <row r="59" spans="1:2" x14ac:dyDescent="0.25">
      <c r="A59" s="14" t="s">
        <v>15</v>
      </c>
      <c r="B59" s="15">
        <v>76.900000000000006</v>
      </c>
    </row>
    <row r="60" spans="1:2" x14ac:dyDescent="0.25">
      <c r="A60" s="14" t="s">
        <v>26</v>
      </c>
      <c r="B60" s="15">
        <v>80.8</v>
      </c>
    </row>
    <row r="61" spans="1:2" x14ac:dyDescent="0.25">
      <c r="A61" s="14" t="s">
        <v>9</v>
      </c>
      <c r="B61" s="15">
        <v>80.8</v>
      </c>
    </row>
    <row r="62" spans="1:2" x14ac:dyDescent="0.25">
      <c r="A62" s="14" t="s">
        <v>29</v>
      </c>
      <c r="B62" s="15">
        <v>80.8</v>
      </c>
    </row>
    <row r="63" spans="1:2" x14ac:dyDescent="0.25">
      <c r="A63" s="14" t="s">
        <v>10</v>
      </c>
      <c r="B63" s="15">
        <v>80.8</v>
      </c>
    </row>
    <row r="64" spans="1:2" x14ac:dyDescent="0.25">
      <c r="A64" s="14" t="s">
        <v>22</v>
      </c>
      <c r="B64" s="15">
        <v>80.8</v>
      </c>
    </row>
    <row r="65" spans="1:2" x14ac:dyDescent="0.25">
      <c r="A65" s="14" t="s">
        <v>74</v>
      </c>
      <c r="B65" s="15">
        <v>1661.8000000000002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Overtime</vt:lpstr>
      <vt:lpstr>Late Arrivals</vt:lpstr>
      <vt:lpstr>Absenteeism</vt:lpstr>
      <vt:lpstr>Punch Integrity</vt:lpstr>
      <vt:lpstr>HR Action Required</vt:lpstr>
      <vt:lpstr>Pivot_Data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Hyang-Won Doo</cp:lastModifiedBy>
  <dcterms:created xsi:type="dcterms:W3CDTF">2026-04-18T19:15:15Z</dcterms:created>
  <dcterms:modified xsi:type="dcterms:W3CDTF">2026-04-21T01:39:28Z</dcterms:modified>
</cp:coreProperties>
</file>